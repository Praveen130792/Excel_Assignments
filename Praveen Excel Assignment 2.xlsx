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1.xml" ContentType="application/vnd.openxmlformats-officedocument.spreadsheetml.queryTable+xml"/>
  <Override PartName="/xl/tables/table10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YASH\Downloads\"/>
    </mc:Choice>
  </mc:AlternateContent>
  <xr:revisionPtr revIDLastSave="0" documentId="13_ncr:1_{9543708A-594A-45E8-AF4D-389EC00664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Power Query Currency Type" sheetId="6" r:id="rId3"/>
    <sheet name="Split Data" sheetId="5" r:id="rId4"/>
    <sheet name="Duplicate Rows" sheetId="3" r:id="rId5"/>
  </sheets>
  <definedNames>
    <definedName name="ExternalData_1" localSheetId="2" hidden="1">'Power Query Currency Type'!$A$1:$A$35</definedName>
    <definedName name="ExternalData_1" localSheetId="3" hidden="1">'Split Data'!$A$1:$C$35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L3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14F16C-5AB5-429C-9BD6-5118A1BCF021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2" xr16:uid="{DE3518AB-989F-4667-A10F-05B870386760}" keepAlive="1" name="Query - Table9" description="Connection to the 'Table9' query in the workbook." type="5" refreshedVersion="8" background="1" saveData="1">
    <dbPr connection="Provider=Microsoft.Mashup.OleDb.1;Data Source=$Workbook$;Location=Table9;Extended Properties=&quot;&quot;" command="SELECT * FROM [Table9]"/>
  </connection>
</connections>
</file>

<file path=xl/sharedStrings.xml><?xml version="1.0" encoding="utf-8"?>
<sst xmlns="http://schemas.openxmlformats.org/spreadsheetml/2006/main" count="665" uniqueCount="158">
  <si>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</si>
  <si>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</si>
  <si>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</si>
  <si>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</si>
  <si>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</si>
  <si>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</si>
  <si>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</si>
  <si>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</si>
  <si>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</si>
  <si>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</si>
  <si>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</si>
  <si>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</si>
  <si>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</si>
  <si>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</si>
  <si>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</si>
  <si>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</si>
  <si>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</si>
  <si>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</si>
  <si>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</si>
  <si>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</si>
  <si>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</si>
  <si>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</si>
  <si>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</si>
  <si>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</si>
  <si>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</si>
  <si>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</si>
  <si>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</si>
  <si>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</si>
  <si>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</si>
  <si>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</si>
  <si>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</si>
  <si>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</si>
  <si>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</si>
  <si>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</si>
  <si>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</si>
  <si>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</si>
  <si>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</si>
  <si>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</si>
  <si>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</si>
  <si>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</si>
  <si>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</si>
  <si>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</si>
  <si>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</si>
  <si>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</si>
  <si>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</si>
  <si>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</si>
  <si>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</si>
  <si>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</si>
  <si>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</si>
  <si>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</si>
  <si>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</si>
  <si>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</si>
  <si>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</si>
  <si>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</si>
  <si>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</si>
  <si>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</si>
  <si>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</si>
  <si>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</si>
  <si>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</si>
  <si>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</si>
  <si>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</si>
  <si>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</si>
  <si>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</si>
  <si>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</si>
  <si>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</si>
  <si>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</si>
  <si>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</si>
  <si>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</si>
  <si>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</si>
  <si>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</si>
  <si>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</si>
  <si>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</si>
  <si>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</si>
  <si>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</si>
  <si>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</si>
  <si>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</si>
  <si>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</si>
  <si>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</si>
  <si>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</si>
  <si>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</si>
  <si>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</si>
  <si>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</si>
  <si>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</si>
  <si>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</si>
  <si>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</si>
  <si>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</si>
  <si>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</si>
  <si>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</si>
  <si>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</si>
  <si>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</si>
  <si>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</si>
  <si>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</si>
  <si>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</si>
  <si>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</si>
  <si>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</si>
  <si>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</si>
  <si>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</si>
  <si>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</si>
  <si>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</si>
  <si>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</si>
  <si>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</si>
  <si>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</si>
  <si>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</si>
  <si>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</si>
  <si>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</si>
  <si>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</si>
  <si>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</si>
  <si>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</si>
  <si>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</si>
  <si>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</si>
  <si>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</si>
  <si>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</si>
  <si>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</si>
  <si>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 BLANK</t>
  </si>
  <si>
    <t>ISBLANK</t>
  </si>
  <si>
    <t>1.Price ($)</t>
  </si>
  <si>
    <t>2. Category</t>
  </si>
  <si>
    <t>3.Product Name</t>
  </si>
  <si>
    <t xml:space="preserve"> </t>
  </si>
  <si>
    <t>Column1</t>
  </si>
  <si>
    <t>4.Category</t>
  </si>
  <si>
    <t>Using CTRL(H)</t>
  </si>
  <si>
    <t>3. Duplicate Rows Cleared</t>
  </si>
  <si>
    <t>5.Product Name</t>
  </si>
  <si>
    <t>7.Product ID.1</t>
  </si>
  <si>
    <t>7.Product ID.2</t>
  </si>
  <si>
    <t>7.Product ID.3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</si>
  <si>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</si>
  <si>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</si>
  <si>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</si>
  <si>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</si>
  <si>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</si>
  <si>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</si>
  <si>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</si>
  <si>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</si>
  <si>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</si>
  <si>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</si>
  <si>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</si>
  <si>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</si>
  <si>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</si>
  <si>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</si>
  <si>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</si>
  <si>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</si>
  <si>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</si>
  <si>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</si>
  <si>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</si>
  <si>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</si>
  <si>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</si>
  <si>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</si>
  <si>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</si>
  <si>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</si>
  <si>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</si>
  <si>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8.Brand Name</t>
  </si>
  <si>
    <t>9.Price ($)</t>
  </si>
  <si>
    <t>9.Price ()</t>
  </si>
  <si>
    <t>10. Column1</t>
  </si>
  <si>
    <t>11.Price ($)</t>
  </si>
  <si>
    <t>12.Category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</si>
</sst>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68" formatCode="[$-14009]yyyy/mm/dd;@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4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4" borderId="2" xfId="0" applyFont="1" applyFill="1" applyBorder="1"/>
    <xf numFmtId="0" fontId="0" fillId="4" borderId="3" xfId="0" applyFill="1" applyBorder="1"/>
    <xf numFmtId="0" fontId="10" fillId="2" borderId="0" xfId="0" applyFont="1" applyFill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11" fillId="4" borderId="0" xfId="0" applyFont="1" applyFill="1"/>
    <xf numFmtId="0" fontId="10" fillId="2" borderId="0" xfId="0" applyFont="1" applyFill="1" applyAlignment="1">
      <alignment vertical="center"/>
    </xf>
    <xf numFmtId="0" fontId="9" fillId="0" borderId="0" xfId="0" applyFont="1"/>
    <xf numFmtId="0" fontId="12" fillId="4" borderId="0" xfId="0" applyFont="1" applyFill="1"/>
    <xf numFmtId="0" fontId="0" fillId="0" borderId="0" xfId="0" applyNumberFormat="1" applyAlignment="1">
      <alignment horizontal="center"/>
    </xf>
    <xf numFmtId="0" fontId="12" fillId="5" borderId="0" xfId="0" applyFont="1" applyFill="1"/>
    <xf numFmtId="165" fontId="7" fillId="2" borderId="0" xfId="0" applyNumberFormat="1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3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8" fontId="5" fillId="0" borderId="0" xfId="0" applyNumberFormat="1" applyFont="1" applyAlignment="1">
      <alignment horizontal="center"/>
    </xf>
    <xf numFmtId="168" fontId="5" fillId="3" borderId="0" xfId="0" applyNumberFormat="1" applyFont="1" applyFill="1" applyAlignment="1">
      <alignment horizontal="center"/>
    </xf>
    <xf numFmtId="168" fontId="7" fillId="2" borderId="0" xfId="0" applyNumberFormat="1" applyFont="1" applyFill="1" applyAlignment="1">
      <alignment horizontal="center"/>
    </xf>
    <xf numFmtId="168" fontId="0" fillId="0" borderId="0" xfId="0" applyNumberFormat="1" applyAlignment="1">
      <alignment horizontal="center"/>
    </xf>
    <xf numFmtId="168" fontId="9" fillId="0" borderId="0" xfId="0" applyNumberFormat="1" applyFont="1"/>
    <xf numFmtId="0" fontId="13" fillId="0" borderId="0" xfId="0" applyFont="1"/>
  </cellXfs>
  <cellStyles count="1">
    <cellStyle name="Normal" xfId="0" builtinId="0"/>
  </cellStyles>
  <dxfs count="32">
    <dxf>
      <fill>
        <patternFill>
          <bgColor rgb="FF00B050"/>
        </patternFill>
      </fill>
    </dxf>
    <dxf>
      <fill>
        <patternFill>
          <bgColor theme="8"/>
        </patternFill>
      </fill>
    </dxf>
    <dxf>
      <numFmt numFmtId="168" formatCode="[$-14009]yyyy/mm/dd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[$-14009]yyyy/mm/dd;@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₹&quot;\ #,##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₹&quot;\ #,##0.00"/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₹&quot;\ #,##0.00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7F83F7-DF1B-4D3D-809B-736597CFBE5C}" autoFormatId="16" applyNumberFormats="0" applyBorderFormats="0" applyFontFormats="0" applyPatternFormats="0" applyAlignmentFormats="0" applyWidthHeightFormats="0">
  <queryTableRefresh nextId="2">
    <queryTableFields count="1">
      <queryTableField id="1" name="Price ($)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59C116-93C7-4EBC-83CD-F9758F88BBEB}" autoFormatId="16" applyNumberFormats="0" applyBorderFormats="0" applyFontFormats="0" applyPatternFormats="0" applyAlignmentFormats="0" applyWidthHeightFormats="0">
  <queryTableRefresh nextId="4">
    <queryTableFields count="3">
      <queryTableField id="1" name="7.Product ID.1" tableColumnId="1"/>
      <queryTableField id="2" name="7.Product ID.2" tableColumnId="2"/>
      <queryTableField id="3" name="7.Product ID.3" tableColumnId="3"/>
    </queryTableFields>
  </queryTableRefresh>
</queryTable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4FC86F-08F9-44B5-AA65-6653D77ADB6A}" name="Table2" displayName="Table2" ref="I1:I35" totalsRowShown="0" headerRowDxfId="31" dataDxfId="30" tableBorderDxfId="29">
  <autoFilter ref="I1:I35" xr:uid="{DB4FC86F-08F9-44B5-AA65-6653D77ADB6A}"/>
  <tableColumns count="1">
    <tableColumn id="1" xr3:uid="{D9A224BA-F125-44B8-B202-9CDBFC110850}" name="1.Price ($)" dataDxfId="28">
      <calculatedColumnFormula>IF(ISBLANK(D2),AVERAGE($D$2:$D$35),D2)</calculatedColumnFormula>
    </tableColumn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5218F1-2017-4831-9CF8-251D58D1CC5E}" name="Table3" displayName="Table3" ref="K1:L35" totalsRowShown="0">
  <autoFilter ref="K1:L35" xr:uid="{215218F1-2017-4831-9CF8-251D58D1CC5E}"/>
  <tableColumns count="2">
    <tableColumn id="1" xr3:uid="{A2251DB9-32EB-4F9B-B02E-C9BE73E85327}" name="2. Category" dataDxfId="27"/>
    <tableColumn id="2" xr3:uid="{8E048610-FCE3-4058-B850-9390272AEE28}" name="ISBLANK">
      <calculatedColumnFormula>ISBLANK(K2)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0453F5-2E59-4BAD-A41E-9983C42C1BF3}" name="Table4" displayName="Table4" ref="N1:O35" totalsRowShown="0" headerRowDxfId="26" dataDxfId="25">
  <autoFilter ref="N1:O35" xr:uid="{1F0453F5-2E59-4BAD-A41E-9983C42C1BF3}"/>
  <tableColumns count="2">
    <tableColumn id="1" xr3:uid="{94D1D8B2-EE15-4B18-9C69-73C02076BD72}" name="3.Product Name" dataDxfId="24"/>
    <tableColumn id="2" xr3:uid="{524D8DDA-126F-48FE-ABFF-45D439CF0803}" name="Column1" dataDxfId="23">
      <calculatedColumnFormula>PROPER(N2)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D7120-91B4-4672-A4B2-ABB1EA11A8CA}" name="Table1" displayName="Table1" ref="Q1:Q35" totalsRowShown="0" headerRowDxfId="21" dataDxfId="20">
  <autoFilter ref="Q1:Q35" xr:uid="{2EED7120-91B4-4672-A4B2-ABB1EA11A8CA}"/>
  <tableColumns count="1">
    <tableColumn id="1" xr3:uid="{C5FC83E0-7478-43F3-8521-16C4F6C99217}" name="4.Category" dataDxfId="22"/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E2CD6B-0A78-408E-B5E4-3EFEE93D539B}" name="Table5" displayName="Table5" ref="S1:T35" totalsRowShown="0" dataDxfId="17">
  <autoFilter ref="S1:T35" xr:uid="{2FE2CD6B-0A78-408E-B5E4-3EFEE93D539B}"/>
  <tableColumns count="2">
    <tableColumn id="1" xr3:uid="{0BAF975E-1FD0-4002-8F0A-EC853D959D13}" name="5.Product Name" dataDxfId="19"/>
    <tableColumn id="2" xr3:uid="{83E5F69A-8EFF-4682-92CA-0C4CE0B61677}" name="Category" dataDxfId="18"/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93B484-A33E-4C36-868C-C1555E14BD72}" name="Table8" displayName="Table8" ref="V1:X35" totalsRowShown="0">
  <autoFilter ref="V1:X35" xr:uid="{FA93B484-A33E-4C36-868C-C1555E14BD72}"/>
  <tableColumns count="3">
    <tableColumn id="1" xr3:uid="{669F4696-5A93-4218-A915-E69DAECA4235}" name="8.Brand Name" dataDxfId="11"/>
    <tableColumn id="2" xr3:uid="{D6584C9D-1402-4EF0-8313-54343105C04D}" name="Product Name" dataDxfId="10"/>
    <tableColumn id="3" xr3:uid="{F53B841E-5810-49EF-BE23-143EFFD6D833}" name="Product Brand">
      <calculatedColumnFormula>CONCATENATE(V2," ",W2)</calculatedColumnFormula>
    </tableColumn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A19FA9-F8BE-49A9-AC66-055E932CF6B9}" name="Table9" displayName="Table9" ref="Z1:Z35" totalsRowShown="0" headerRowDxfId="8" dataDxfId="7">
  <autoFilter ref="Z1:Z35" xr:uid="{84A19FA9-F8BE-49A9-AC66-055E932CF6B9}"/>
  <tableColumns count="1">
    <tableColumn id="1" xr3:uid="{86DAA28A-56BC-439F-BE49-F27B9E438FF6}" name="9.Price ()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F3E58CB-748B-4483-A946-1AFF7BA02CFE}" name="Table11" displayName="Table11" ref="AB1:AC35" totalsRowShown="0">
  <autoFilter ref="AB1:AC35" xr:uid="{FF3E58CB-748B-4483-A946-1AFF7BA02CFE}"/>
  <tableColumns count="2">
    <tableColumn id="1" xr3:uid="{13AB7F35-2424-40D7-9938-AD4FB0D8D4A7}" name="Product ID" dataDxfId="3"/>
    <tableColumn id="2" xr3:uid="{9CF16FA8-4336-4702-8B53-CDFD1FAD10D9}" name="10. Column1" dataDxfId="2">
      <calculatedColumnFormula>LEFT(AB2,6)</calculatedColumnFormula>
    </tableColumn>
  </tableColumns>
  <tableStyleInfo name="TableStyleMedium2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19A3EE-97ED-4351-BAEA-3F6575ADBF93}" name="Table9_1" displayName="Table9_1" ref="A1:A35" tableType="queryTable" totalsRowShown="0" headerRowDxfId="5" dataDxfId="4">
  <autoFilter ref="A1:A35" xr:uid="{8719A3EE-97ED-4351-BAEA-3F6575ADBF93}"/>
  <tableColumns count="1">
    <tableColumn id="1" xr3:uid="{72F32EA5-30E4-402B-A479-F5A937915183}" uniqueName="1" name="9.Price ($)" queryTableFieldId="1" dataDxf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747000-1D25-4318-9244-0CAC15BAF620}" name="Table6_1" displayName="Table6_1" ref="A1:C35" tableType="queryTable" totalsRowShown="0" headerRowDxfId="13" dataDxfId="12">
  <autoFilter ref="A1:C35" xr:uid="{02747000-1D25-4318-9244-0CAC15BAF620}"/>
  <tableColumns count="3">
    <tableColumn id="1" xr3:uid="{74C62BBB-9A38-4A0D-B18A-2AEBD423A368}" uniqueName="1" name="7.Product ID.1" queryTableFieldId="1" dataDxfId="16"/>
    <tableColumn id="2" xr3:uid="{2A71E196-08FC-4E6E-8B11-ED6EDEF5B2D4}" uniqueName="2" name="7.Product ID.2" queryTableFieldId="2" dataDxfId="15"/>
    <tableColumn id="3" xr3:uid="{77AF3649-AA53-470D-A33C-BFF443CC9F8A}" uniqueName="3" name="7.Product ID.3" queryTableFieldId="3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6" workbookViewId="0">
      <selection activeCell="G28" sqref="E28:G3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  <c r="G9" t="s">
        <v>118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41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0"/>
  <sheetViews>
    <sheetView tabSelected="1" topLeftCell="X1" workbookViewId="0">
      <selection activeCell="AG6" sqref="AG6"/>
    </sheetView>
  </sheetViews>
  <sheetFormatPr defaultColWidth="12.6640625" defaultRowHeight="15" customHeight="1" x14ac:dyDescent="0.25"/>
  <cols>
    <col min="1" max="6" width="12.6640625" customWidth="1"/>
    <col min="11" max="11" width="15.33203125" customWidth="1"/>
    <col min="12" max="12" width="14.21875" customWidth="1"/>
    <col min="14" max="14" width="18" customWidth="1"/>
    <col min="15" max="15" width="13.33203125" customWidth="1"/>
    <col min="17" max="17" width="15.33203125" customWidth="1"/>
    <col min="19" max="19" width="16.88671875" customWidth="1"/>
    <col min="20" max="20" width="13.109375" customWidth="1"/>
    <col min="22" max="22" width="16" customWidth="1"/>
    <col min="23" max="23" width="15.33203125" customWidth="1"/>
    <col min="24" max="24" width="21.88671875" customWidth="1"/>
    <col min="28" max="28" width="15.6640625" customWidth="1"/>
    <col min="31" max="31" width="17.44140625" customWidth="1"/>
  </cols>
  <sheetData>
    <row r="1" spans="1:33" ht="15.75" customHeight="1" thickBo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I1" s="11" t="s">
        <v>115</v>
      </c>
      <c r="K1" s="14" t="s">
        <v>116</v>
      </c>
      <c r="L1" s="11" t="s">
        <v>114</v>
      </c>
      <c r="N1" s="14" t="s">
        <v>117</v>
      </c>
      <c r="O1" s="14" t="s">
        <v>119</v>
      </c>
      <c r="Q1" s="18" t="s">
        <v>120</v>
      </c>
      <c r="S1" s="27" t="s">
        <v>123</v>
      </c>
      <c r="T1" s="24" t="s">
        <v>24</v>
      </c>
      <c r="V1" s="7" t="s">
        <v>152</v>
      </c>
      <c r="W1" s="7" t="s">
        <v>20</v>
      </c>
      <c r="X1" t="s">
        <v>151</v>
      </c>
      <c r="Y1" s="28"/>
      <c r="Z1" s="32" t="s">
        <v>154</v>
      </c>
      <c r="AB1" s="38" t="s">
        <v>19</v>
      </c>
      <c r="AC1" s="40" t="s">
        <v>155</v>
      </c>
      <c r="AE1" s="14" t="s">
        <v>156</v>
      </c>
      <c r="AG1" s="14" t="s">
        <v>157</v>
      </c>
    </row>
    <row r="2" spans="1:33" ht="15.75" customHeight="1" x14ac:dyDescent="0.25">
      <c r="A2" s="5" t="s">
        <v>25</v>
      </c>
      <c r="B2" s="5" t="s">
        <v>59</v>
      </c>
      <c r="C2" s="5" t="s">
        <v>26</v>
      </c>
      <c r="D2" s="5">
        <v>1000</v>
      </c>
      <c r="E2" s="5">
        <v>30</v>
      </c>
      <c r="F2" s="5" t="s">
        <v>27</v>
      </c>
      <c r="I2" s="9">
        <f t="shared" ref="I2:I35" si="0">IF(ISBLANK(D2),AVERAGE($D$2:$D$35),D2)</f>
        <v>1000</v>
      </c>
      <c r="K2" s="5" t="s">
        <v>27</v>
      </c>
      <c r="L2" t="b">
        <f>ISBLANK(K2)</f>
        <v>0</v>
      </c>
      <c r="N2" s="5" t="s">
        <v>59</v>
      </c>
      <c r="O2" s="8" t="str">
        <f t="shared" ref="O2:O35" si="1">PROPER(N2)</f>
        <v>Laptop</v>
      </c>
      <c r="Q2" s="19" t="s">
        <v>27</v>
      </c>
      <c r="S2" s="21" t="s">
        <v>59</v>
      </c>
      <c r="T2" s="21" t="s">
        <v>27</v>
      </c>
      <c r="V2" s="5" t="s">
        <v>26</v>
      </c>
      <c r="W2" s="5" t="s">
        <v>59</v>
      </c>
      <c r="X2" t="str">
        <f>CONCATENATE(V2," ",W2)</f>
        <v>Dell Laptop</v>
      </c>
      <c r="Z2" s="33">
        <v>1000</v>
      </c>
      <c r="AB2" s="36" t="s">
        <v>25</v>
      </c>
      <c r="AC2" s="39" t="str">
        <f>LEFT(AB2,6)</f>
        <v>28-JAN</v>
      </c>
      <c r="AE2" s="16">
        <v>1000</v>
      </c>
      <c r="AG2" s="5" t="s">
        <v>27</v>
      </c>
    </row>
    <row r="3" spans="1:33" ht="15.75" customHeight="1" x14ac:dyDescent="0.25">
      <c r="A3" s="8" t="s">
        <v>28</v>
      </c>
      <c r="B3" s="8" t="s">
        <v>29</v>
      </c>
      <c r="C3" s="8" t="s">
        <v>30</v>
      </c>
      <c r="D3" s="8">
        <v>80</v>
      </c>
      <c r="E3" s="8">
        <v>15</v>
      </c>
      <c r="F3" s="8" t="s">
        <v>31</v>
      </c>
      <c r="I3" s="10">
        <f t="shared" si="0"/>
        <v>80</v>
      </c>
      <c r="J3" s="5"/>
      <c r="K3" s="8" t="s">
        <v>31</v>
      </c>
      <c r="L3" t="b">
        <f t="shared" ref="L3:L35" si="2">ISBLANK(K3)</f>
        <v>0</v>
      </c>
      <c r="M3" s="5"/>
      <c r="N3" s="8" t="s">
        <v>29</v>
      </c>
      <c r="O3" s="8" t="str">
        <f t="shared" si="1"/>
        <v>Sneakers</v>
      </c>
      <c r="Q3" s="20" t="s">
        <v>31</v>
      </c>
      <c r="S3" s="22" t="s">
        <v>29</v>
      </c>
      <c r="T3" s="22" t="s">
        <v>31</v>
      </c>
      <c r="V3" s="8" t="s">
        <v>30</v>
      </c>
      <c r="W3" s="8" t="s">
        <v>29</v>
      </c>
      <c r="X3" t="str">
        <f t="shared" ref="X3:X35" si="3">CONCATENATE(V3," ",W3)</f>
        <v>Nike Sneakers</v>
      </c>
      <c r="Z3" s="34">
        <v>80</v>
      </c>
      <c r="AB3" s="37" t="s">
        <v>28</v>
      </c>
      <c r="AC3" s="39" t="str">
        <f t="shared" ref="AC3:AC35" si="4">LEFT(AB3,6)</f>
        <v>15-FEB</v>
      </c>
      <c r="AE3" s="17">
        <v>80</v>
      </c>
      <c r="AG3" s="8" t="s">
        <v>31</v>
      </c>
    </row>
    <row r="4" spans="1:33" ht="15.75" customHeight="1" x14ac:dyDescent="0.3">
      <c r="A4" s="5" t="s">
        <v>32</v>
      </c>
      <c r="B4" s="15" t="s">
        <v>33</v>
      </c>
      <c r="C4" s="5" t="s">
        <v>34</v>
      </c>
      <c r="D4" s="5">
        <v>130</v>
      </c>
      <c r="E4" s="5">
        <v>40</v>
      </c>
      <c r="F4" s="5" t="s">
        <v>35</v>
      </c>
      <c r="I4" s="10">
        <f t="shared" si="0"/>
        <v>130</v>
      </c>
      <c r="J4" s="3"/>
      <c r="K4" s="5" t="s">
        <v>35</v>
      </c>
      <c r="L4" t="b">
        <f t="shared" si="2"/>
        <v>0</v>
      </c>
      <c r="M4" s="5"/>
      <c r="N4" s="15" t="s">
        <v>33</v>
      </c>
      <c r="O4" s="8" t="str">
        <f t="shared" si="1"/>
        <v>Coffee Maker</v>
      </c>
      <c r="Q4" s="19" t="s">
        <v>35</v>
      </c>
      <c r="S4" s="23" t="s">
        <v>33</v>
      </c>
      <c r="T4" s="21" t="s">
        <v>35</v>
      </c>
      <c r="V4" s="5" t="s">
        <v>34</v>
      </c>
      <c r="W4" s="15" t="s">
        <v>33</v>
      </c>
      <c r="X4" t="str">
        <f t="shared" si="3"/>
        <v>Keurig Coffee Maker</v>
      </c>
      <c r="Z4" s="33">
        <v>130</v>
      </c>
      <c r="AB4" s="36" t="s">
        <v>32</v>
      </c>
      <c r="AC4" s="39" t="str">
        <f t="shared" si="4"/>
        <v>03-MAR</v>
      </c>
      <c r="AE4" s="16">
        <v>130</v>
      </c>
      <c r="AG4" s="5" t="s">
        <v>35</v>
      </c>
    </row>
    <row r="5" spans="1:33" ht="15.75" customHeight="1" x14ac:dyDescent="0.3">
      <c r="A5" s="8" t="s">
        <v>36</v>
      </c>
      <c r="B5" s="8" t="s">
        <v>93</v>
      </c>
      <c r="C5" s="8" t="s">
        <v>37</v>
      </c>
      <c r="D5" s="8">
        <v>900</v>
      </c>
      <c r="E5" s="8">
        <v>25</v>
      </c>
      <c r="F5" s="8" t="s">
        <v>27</v>
      </c>
      <c r="I5" s="10">
        <f t="shared" si="0"/>
        <v>900</v>
      </c>
      <c r="J5" s="3"/>
      <c r="K5" s="8" t="s">
        <v>27</v>
      </c>
      <c r="L5" t="b">
        <f t="shared" si="2"/>
        <v>0</v>
      </c>
      <c r="M5" s="5"/>
      <c r="N5" s="8" t="s">
        <v>93</v>
      </c>
      <c r="O5" s="8" t="str">
        <f t="shared" si="1"/>
        <v>Smartphone</v>
      </c>
      <c r="Q5" s="20" t="s">
        <v>27</v>
      </c>
      <c r="S5" s="22" t="s">
        <v>93</v>
      </c>
      <c r="T5" s="22" t="s">
        <v>27</v>
      </c>
      <c r="V5" s="8" t="s">
        <v>37</v>
      </c>
      <c r="W5" s="8" t="s">
        <v>93</v>
      </c>
      <c r="X5" t="str">
        <f t="shared" si="3"/>
        <v>Samsung Smartphone</v>
      </c>
      <c r="Z5" s="34">
        <v>900</v>
      </c>
      <c r="AB5" s="37" t="s">
        <v>36</v>
      </c>
      <c r="AC5" s="39" t="str">
        <f t="shared" si="4"/>
        <v>11-APR</v>
      </c>
      <c r="AE5" s="17">
        <v>900</v>
      </c>
      <c r="AG5" s="8" t="s">
        <v>27</v>
      </c>
    </row>
    <row r="6" spans="1:33" ht="15.75" customHeight="1" x14ac:dyDescent="0.25">
      <c r="A6" s="5" t="s">
        <v>38</v>
      </c>
      <c r="B6" s="5" t="s">
        <v>39</v>
      </c>
      <c r="C6" s="5" t="s">
        <v>40</v>
      </c>
      <c r="D6" s="5">
        <v>70</v>
      </c>
      <c r="E6" s="5">
        <v>20</v>
      </c>
      <c r="F6" s="5"/>
      <c r="I6" s="10">
        <f t="shared" si="0"/>
        <v>70</v>
      </c>
      <c r="K6" s="5"/>
      <c r="L6" t="b">
        <f t="shared" si="2"/>
        <v>1</v>
      </c>
      <c r="N6" s="5" t="s">
        <v>39</v>
      </c>
      <c r="O6" s="8" t="str">
        <f t="shared" si="1"/>
        <v>Backpack</v>
      </c>
      <c r="Q6" s="19"/>
      <c r="S6" s="21" t="s">
        <v>39</v>
      </c>
      <c r="T6" s="21"/>
      <c r="V6" s="5" t="s">
        <v>40</v>
      </c>
      <c r="W6" s="5" t="s">
        <v>39</v>
      </c>
      <c r="X6" t="str">
        <f t="shared" si="3"/>
        <v>North Face Backpack</v>
      </c>
      <c r="Z6" s="33">
        <v>70</v>
      </c>
      <c r="AB6" s="36" t="s">
        <v>38</v>
      </c>
      <c r="AC6" s="39" t="str">
        <f t="shared" si="4"/>
        <v>22-MAY</v>
      </c>
      <c r="AE6" s="16">
        <v>70</v>
      </c>
      <c r="AG6" s="5"/>
    </row>
    <row r="7" spans="1:33" ht="15.75" customHeight="1" x14ac:dyDescent="0.25">
      <c r="A7" s="8" t="s">
        <v>41</v>
      </c>
      <c r="B7" s="8" t="s">
        <v>42</v>
      </c>
      <c r="C7" s="8" t="s">
        <v>43</v>
      </c>
      <c r="D7" s="8"/>
      <c r="E7" s="8">
        <v>45</v>
      </c>
      <c r="F7" s="8" t="s">
        <v>44</v>
      </c>
      <c r="I7" s="10">
        <f t="shared" si="0"/>
        <v>309.35483870967744</v>
      </c>
      <c r="K7" s="8" t="s">
        <v>44</v>
      </c>
      <c r="L7" t="b">
        <f t="shared" si="2"/>
        <v>0</v>
      </c>
      <c r="N7" s="8" t="s">
        <v>42</v>
      </c>
      <c r="O7" s="8" t="str">
        <f t="shared" si="1"/>
        <v>Headphones</v>
      </c>
      <c r="Q7" s="20" t="s">
        <v>27</v>
      </c>
      <c r="S7" s="22" t="s">
        <v>42</v>
      </c>
      <c r="T7" s="22" t="s">
        <v>27</v>
      </c>
      <c r="V7" s="8" t="s">
        <v>43</v>
      </c>
      <c r="W7" s="8" t="s">
        <v>42</v>
      </c>
      <c r="X7" t="str">
        <f t="shared" si="3"/>
        <v>Sony Headphones</v>
      </c>
      <c r="Z7" s="34"/>
      <c r="AB7" s="37" t="s">
        <v>41</v>
      </c>
      <c r="AC7" s="39" t="str">
        <f t="shared" si="4"/>
        <v>07-JUN</v>
      </c>
      <c r="AE7" s="17"/>
      <c r="AG7" s="8" t="s">
        <v>44</v>
      </c>
    </row>
    <row r="8" spans="1:33" ht="15.75" customHeight="1" x14ac:dyDescent="0.25">
      <c r="A8" s="5" t="s">
        <v>45</v>
      </c>
      <c r="B8" s="5" t="s">
        <v>46</v>
      </c>
      <c r="C8" s="5" t="s">
        <v>47</v>
      </c>
      <c r="D8" s="5">
        <v>30</v>
      </c>
      <c r="E8" s="5">
        <v>5</v>
      </c>
      <c r="F8" s="5" t="s">
        <v>31</v>
      </c>
      <c r="I8" s="10">
        <f t="shared" si="0"/>
        <v>30</v>
      </c>
      <c r="K8" s="5" t="s">
        <v>31</v>
      </c>
      <c r="L8" t="b">
        <f t="shared" si="2"/>
        <v>0</v>
      </c>
      <c r="N8" s="5" t="s">
        <v>46</v>
      </c>
      <c r="O8" s="8" t="str">
        <f t="shared" si="1"/>
        <v>T-Shirt</v>
      </c>
      <c r="Q8" s="19" t="s">
        <v>31</v>
      </c>
      <c r="S8" s="21" t="s">
        <v>46</v>
      </c>
      <c r="T8" s="21" t="s">
        <v>31</v>
      </c>
      <c r="V8" s="5" t="s">
        <v>47</v>
      </c>
      <c r="W8" s="5" t="s">
        <v>46</v>
      </c>
      <c r="X8" t="str">
        <f t="shared" si="3"/>
        <v>Adidas T-shirt</v>
      </c>
      <c r="Z8" s="33">
        <v>30</v>
      </c>
      <c r="AB8" s="36" t="s">
        <v>45</v>
      </c>
      <c r="AC8" s="39" t="str">
        <f t="shared" si="4"/>
        <v>19-JUL</v>
      </c>
      <c r="AE8" s="16">
        <v>30</v>
      </c>
      <c r="AG8" s="5" t="s">
        <v>31</v>
      </c>
    </row>
    <row r="9" spans="1:33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35</v>
      </c>
      <c r="I9" s="10">
        <f t="shared" si="0"/>
        <v>90</v>
      </c>
      <c r="K9" s="8" t="s">
        <v>35</v>
      </c>
      <c r="L9" t="b">
        <f t="shared" si="2"/>
        <v>0</v>
      </c>
      <c r="N9" s="8" t="s">
        <v>49</v>
      </c>
      <c r="O9" s="8" t="str">
        <f t="shared" si="1"/>
        <v>Blender</v>
      </c>
      <c r="Q9" s="20" t="s">
        <v>35</v>
      </c>
      <c r="S9" s="22" t="s">
        <v>49</v>
      </c>
      <c r="T9" s="22" t="s">
        <v>35</v>
      </c>
      <c r="V9" s="8" t="s">
        <v>50</v>
      </c>
      <c r="W9" s="8" t="s">
        <v>49</v>
      </c>
      <c r="X9" t="str">
        <f t="shared" si="3"/>
        <v>Ninja Blender</v>
      </c>
      <c r="Z9" s="34">
        <v>90</v>
      </c>
      <c r="AB9" s="37" t="s">
        <v>48</v>
      </c>
      <c r="AC9" s="39" t="str">
        <f t="shared" si="4"/>
        <v>23-AUG</v>
      </c>
      <c r="AE9" s="17">
        <v>90</v>
      </c>
      <c r="AG9" s="8" t="s">
        <v>35</v>
      </c>
    </row>
    <row r="10" spans="1:33" ht="15.75" customHeight="1" x14ac:dyDescent="0.25">
      <c r="A10" s="5" t="s">
        <v>51</v>
      </c>
      <c r="B10" s="5" t="s">
        <v>52</v>
      </c>
      <c r="C10" s="5" t="s">
        <v>53</v>
      </c>
      <c r="D10" s="5">
        <v>500</v>
      </c>
      <c r="E10" s="5">
        <v>50</v>
      </c>
      <c r="F10" s="5" t="s">
        <v>27</v>
      </c>
      <c r="I10" s="10">
        <f t="shared" si="0"/>
        <v>500</v>
      </c>
      <c r="K10" s="5" t="s">
        <v>27</v>
      </c>
      <c r="L10" t="b">
        <f t="shared" si="2"/>
        <v>0</v>
      </c>
      <c r="N10" s="5" t="s">
        <v>52</v>
      </c>
      <c r="O10" s="8" t="str">
        <f t="shared" si="1"/>
        <v>Tablet</v>
      </c>
      <c r="Q10" s="19" t="s">
        <v>27</v>
      </c>
      <c r="S10" s="21" t="s">
        <v>52</v>
      </c>
      <c r="T10" s="21" t="s">
        <v>27</v>
      </c>
      <c r="V10" s="5" t="s">
        <v>53</v>
      </c>
      <c r="W10" s="5" t="s">
        <v>52</v>
      </c>
      <c r="X10" t="str">
        <f t="shared" si="3"/>
        <v>Apple Tablet</v>
      </c>
      <c r="Z10" s="33">
        <v>500</v>
      </c>
      <c r="AB10" s="36" t="s">
        <v>51</v>
      </c>
      <c r="AC10" s="39" t="str">
        <f t="shared" si="4"/>
        <v>05-SEP</v>
      </c>
      <c r="AE10" s="16">
        <v>500</v>
      </c>
      <c r="AG10" s="5" t="s">
        <v>27</v>
      </c>
    </row>
    <row r="11" spans="1:33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57</v>
      </c>
      <c r="I11" s="10">
        <f t="shared" si="0"/>
        <v>130</v>
      </c>
      <c r="K11" s="8" t="s">
        <v>57</v>
      </c>
      <c r="L11" t="b">
        <f t="shared" si="2"/>
        <v>0</v>
      </c>
      <c r="N11" s="8" t="s">
        <v>55</v>
      </c>
      <c r="O11" s="8" t="str">
        <f t="shared" si="1"/>
        <v>Hiking Boots</v>
      </c>
      <c r="Q11" s="20" t="s">
        <v>57</v>
      </c>
      <c r="S11" s="22" t="s">
        <v>55</v>
      </c>
      <c r="T11" s="22" t="s">
        <v>57</v>
      </c>
      <c r="V11" s="8" t="s">
        <v>56</v>
      </c>
      <c r="W11" s="8" t="s">
        <v>55</v>
      </c>
      <c r="X11" t="str">
        <f t="shared" si="3"/>
        <v>Timberland Hiking Boots</v>
      </c>
      <c r="Z11" s="34">
        <v>130</v>
      </c>
      <c r="AB11" s="37" t="s">
        <v>54</v>
      </c>
      <c r="AC11" s="39" t="str">
        <f t="shared" si="4"/>
        <v>14-OCT</v>
      </c>
      <c r="AE11" s="17">
        <v>130</v>
      </c>
      <c r="AG11" s="8" t="s">
        <v>57</v>
      </c>
    </row>
    <row r="12" spans="1:33" ht="15.75" customHeight="1" x14ac:dyDescent="0.25">
      <c r="A12" s="5" t="s">
        <v>58</v>
      </c>
      <c r="B12" s="5" t="s">
        <v>59</v>
      </c>
      <c r="C12" s="5" t="s">
        <v>60</v>
      </c>
      <c r="D12" s="5">
        <v>950</v>
      </c>
      <c r="E12" s="5">
        <v>25</v>
      </c>
      <c r="F12" s="5" t="s">
        <v>27</v>
      </c>
      <c r="I12" s="10">
        <f t="shared" si="0"/>
        <v>950</v>
      </c>
      <c r="K12" s="5" t="s">
        <v>27</v>
      </c>
      <c r="L12" t="b">
        <f t="shared" si="2"/>
        <v>0</v>
      </c>
      <c r="N12" s="5" t="s">
        <v>59</v>
      </c>
      <c r="O12" s="8" t="str">
        <f t="shared" si="1"/>
        <v>Laptop</v>
      </c>
      <c r="Q12" s="19" t="s">
        <v>27</v>
      </c>
      <c r="S12" s="21" t="s">
        <v>59</v>
      </c>
      <c r="T12" s="21" t="s">
        <v>27</v>
      </c>
      <c r="V12" s="5" t="s">
        <v>60</v>
      </c>
      <c r="W12" s="5" t="s">
        <v>59</v>
      </c>
      <c r="X12" t="str">
        <f t="shared" si="3"/>
        <v>HP Laptop</v>
      </c>
      <c r="Z12" s="33">
        <v>950</v>
      </c>
      <c r="AB12" s="36" t="s">
        <v>58</v>
      </c>
      <c r="AC12" s="39" t="str">
        <f t="shared" si="4"/>
        <v>17-JUN</v>
      </c>
      <c r="AE12" s="16">
        <v>950</v>
      </c>
      <c r="AG12" s="5" t="s">
        <v>27</v>
      </c>
    </row>
    <row r="13" spans="1:33" ht="15.75" customHeight="1" x14ac:dyDescent="0.25">
      <c r="A13" s="8" t="s">
        <v>61</v>
      </c>
      <c r="B13" s="8" t="s">
        <v>29</v>
      </c>
      <c r="C13" s="8" t="s">
        <v>47</v>
      </c>
      <c r="D13" s="8">
        <v>90</v>
      </c>
      <c r="E13" s="8">
        <v>40</v>
      </c>
      <c r="F13" s="8"/>
      <c r="I13" s="10">
        <f t="shared" si="0"/>
        <v>90</v>
      </c>
      <c r="K13" s="8"/>
      <c r="L13" t="b">
        <f t="shared" si="2"/>
        <v>1</v>
      </c>
      <c r="N13" s="8" t="s">
        <v>29</v>
      </c>
      <c r="O13" s="8" t="str">
        <f t="shared" si="1"/>
        <v>Sneakers</v>
      </c>
      <c r="Q13" s="20"/>
      <c r="S13" s="22" t="s">
        <v>29</v>
      </c>
      <c r="T13" s="22"/>
      <c r="V13" s="8" t="s">
        <v>47</v>
      </c>
      <c r="W13" s="8" t="s">
        <v>29</v>
      </c>
      <c r="X13" t="str">
        <f t="shared" si="3"/>
        <v>Adidas Sneakers</v>
      </c>
      <c r="Z13" s="34">
        <v>90</v>
      </c>
      <c r="AB13" s="37" t="s">
        <v>61</v>
      </c>
      <c r="AC13" s="39" t="str">
        <f t="shared" si="4"/>
        <v>25-NOV</v>
      </c>
      <c r="AE13" s="17">
        <v>90</v>
      </c>
      <c r="AG13" s="8"/>
    </row>
    <row r="14" spans="1:33" ht="15.75" customHeight="1" x14ac:dyDescent="0.25">
      <c r="A14" s="5" t="s">
        <v>62</v>
      </c>
      <c r="B14" s="5" t="s">
        <v>33</v>
      </c>
      <c r="C14" s="5" t="s">
        <v>63</v>
      </c>
      <c r="D14" s="5">
        <v>120</v>
      </c>
      <c r="E14" s="5">
        <v>35</v>
      </c>
      <c r="F14" s="5"/>
      <c r="I14" s="10">
        <f t="shared" si="0"/>
        <v>120</v>
      </c>
      <c r="K14" s="5"/>
      <c r="L14" t="b">
        <f t="shared" si="2"/>
        <v>1</v>
      </c>
      <c r="N14" s="5" t="s">
        <v>33</v>
      </c>
      <c r="O14" s="8" t="str">
        <f t="shared" si="1"/>
        <v>Coffee Maker</v>
      </c>
      <c r="Q14" s="19"/>
      <c r="S14" s="21" t="s">
        <v>33</v>
      </c>
      <c r="T14" s="21"/>
      <c r="V14" s="5" t="s">
        <v>63</v>
      </c>
      <c r="W14" s="5" t="s">
        <v>33</v>
      </c>
      <c r="X14" t="str">
        <f t="shared" si="3"/>
        <v>Nespresso Coffee Maker</v>
      </c>
      <c r="Z14" s="33">
        <v>120</v>
      </c>
      <c r="AB14" s="36" t="s">
        <v>62</v>
      </c>
      <c r="AC14" s="39" t="str">
        <f t="shared" si="4"/>
        <v>08-DEC</v>
      </c>
      <c r="AE14" s="16">
        <v>120</v>
      </c>
      <c r="AG14" s="5"/>
    </row>
    <row r="15" spans="1:33" ht="15.75" customHeight="1" x14ac:dyDescent="0.25">
      <c r="A15" s="8" t="s">
        <v>64</v>
      </c>
      <c r="B15" s="8" t="s">
        <v>65</v>
      </c>
      <c r="C15" s="8" t="s">
        <v>66</v>
      </c>
      <c r="D15" s="8">
        <v>150</v>
      </c>
      <c r="E15" s="8">
        <v>15</v>
      </c>
      <c r="F15" s="8" t="s">
        <v>44</v>
      </c>
      <c r="I15" s="10">
        <f t="shared" si="0"/>
        <v>150</v>
      </c>
      <c r="K15" s="8" t="s">
        <v>44</v>
      </c>
      <c r="L15" t="b">
        <f t="shared" si="2"/>
        <v>0</v>
      </c>
      <c r="N15" s="8" t="s">
        <v>65</v>
      </c>
      <c r="O15" s="8" t="str">
        <f t="shared" si="1"/>
        <v>Smartwatch</v>
      </c>
      <c r="Q15" s="20" t="s">
        <v>27</v>
      </c>
      <c r="S15" s="22" t="s">
        <v>65</v>
      </c>
      <c r="T15" s="22" t="s">
        <v>27</v>
      </c>
      <c r="V15" s="8" t="s">
        <v>66</v>
      </c>
      <c r="W15" s="8" t="s">
        <v>65</v>
      </c>
      <c r="X15" t="str">
        <f t="shared" si="3"/>
        <v>Fitbit Smartwatch</v>
      </c>
      <c r="Z15" s="34">
        <v>150</v>
      </c>
      <c r="AB15" s="37" t="s">
        <v>64</v>
      </c>
      <c r="AC15" s="39" t="str">
        <f t="shared" si="4"/>
        <v>18-FEB</v>
      </c>
      <c r="AE15" s="17">
        <v>150</v>
      </c>
      <c r="AG15" s="8" t="s">
        <v>44</v>
      </c>
    </row>
    <row r="16" spans="1:33" ht="15.75" customHeight="1" x14ac:dyDescent="0.25">
      <c r="A16" s="5" t="s">
        <v>67</v>
      </c>
      <c r="B16" s="5" t="s">
        <v>42</v>
      </c>
      <c r="C16" s="5" t="s">
        <v>68</v>
      </c>
      <c r="D16" s="5">
        <v>250</v>
      </c>
      <c r="E16" s="5">
        <v>20</v>
      </c>
      <c r="F16" s="5" t="s">
        <v>44</v>
      </c>
      <c r="I16" s="10">
        <f t="shared" si="0"/>
        <v>250</v>
      </c>
      <c r="K16" s="5" t="s">
        <v>44</v>
      </c>
      <c r="L16" t="b">
        <f t="shared" si="2"/>
        <v>0</v>
      </c>
      <c r="N16" s="5" t="s">
        <v>42</v>
      </c>
      <c r="O16" s="8" t="str">
        <f t="shared" si="1"/>
        <v>Headphones</v>
      </c>
      <c r="Q16" s="19" t="s">
        <v>27</v>
      </c>
      <c r="S16" s="21" t="s">
        <v>42</v>
      </c>
      <c r="T16" s="21" t="s">
        <v>27</v>
      </c>
      <c r="V16" s="5" t="s">
        <v>68</v>
      </c>
      <c r="W16" s="5" t="s">
        <v>42</v>
      </c>
      <c r="X16" t="str">
        <f t="shared" si="3"/>
        <v>Bose Headphones</v>
      </c>
      <c r="Z16" s="33">
        <v>250</v>
      </c>
      <c r="AB16" s="36" t="s">
        <v>67</v>
      </c>
      <c r="AC16" s="39" t="str">
        <f t="shared" si="4"/>
        <v>16-APR</v>
      </c>
      <c r="AE16" s="16">
        <v>250</v>
      </c>
      <c r="AG16" s="5" t="s">
        <v>44</v>
      </c>
    </row>
    <row r="17" spans="1:33" ht="15.75" customHeight="1" x14ac:dyDescent="0.25">
      <c r="A17" s="8" t="s">
        <v>69</v>
      </c>
      <c r="B17" s="8" t="s">
        <v>70</v>
      </c>
      <c r="C17" s="8" t="s">
        <v>71</v>
      </c>
      <c r="D17" s="8">
        <v>50</v>
      </c>
      <c r="E17" s="8">
        <v>35</v>
      </c>
      <c r="F17" s="8" t="s">
        <v>72</v>
      </c>
      <c r="I17" s="10">
        <f t="shared" si="0"/>
        <v>50</v>
      </c>
      <c r="K17" s="8" t="s">
        <v>72</v>
      </c>
      <c r="L17" t="b">
        <f t="shared" si="2"/>
        <v>0</v>
      </c>
      <c r="N17" s="8" t="s">
        <v>70</v>
      </c>
      <c r="O17" s="8" t="str">
        <f t="shared" si="1"/>
        <v>Laptop Bag</v>
      </c>
      <c r="Q17" s="20" t="s">
        <v>72</v>
      </c>
      <c r="S17" s="22" t="s">
        <v>70</v>
      </c>
      <c r="T17" s="22" t="s">
        <v>72</v>
      </c>
      <c r="V17" s="8" t="s">
        <v>71</v>
      </c>
      <c r="W17" s="8" t="s">
        <v>70</v>
      </c>
      <c r="X17" t="str">
        <f t="shared" si="3"/>
        <v>Samsonite Laptop Bag</v>
      </c>
      <c r="Z17" s="34">
        <v>50</v>
      </c>
      <c r="AB17" s="37" t="s">
        <v>69</v>
      </c>
      <c r="AC17" s="39" t="str">
        <f t="shared" si="4"/>
        <v>21-AUG</v>
      </c>
      <c r="AE17" s="17">
        <v>50</v>
      </c>
      <c r="AG17" s="8" t="s">
        <v>72</v>
      </c>
    </row>
    <row r="18" spans="1:33" ht="15.75" customHeight="1" x14ac:dyDescent="0.25">
      <c r="A18" s="5" t="s">
        <v>73</v>
      </c>
      <c r="B18" s="5" t="s">
        <v>65</v>
      </c>
      <c r="C18" s="5" t="s">
        <v>74</v>
      </c>
      <c r="D18" s="5">
        <v>160</v>
      </c>
      <c r="E18" s="5">
        <v>15</v>
      </c>
      <c r="F18" s="5" t="s">
        <v>44</v>
      </c>
      <c r="I18" s="10">
        <f t="shared" si="0"/>
        <v>160</v>
      </c>
      <c r="K18" s="5" t="s">
        <v>44</v>
      </c>
      <c r="L18" t="b">
        <f t="shared" si="2"/>
        <v>0</v>
      </c>
      <c r="N18" s="5" t="s">
        <v>65</v>
      </c>
      <c r="O18" s="8" t="str">
        <f t="shared" si="1"/>
        <v>Smartwatch</v>
      </c>
      <c r="Q18" s="19" t="s">
        <v>27</v>
      </c>
      <c r="S18" s="21" t="s">
        <v>65</v>
      </c>
      <c r="T18" s="21" t="s">
        <v>27</v>
      </c>
      <c r="V18" s="5" t="s">
        <v>74</v>
      </c>
      <c r="W18" s="5" t="s">
        <v>65</v>
      </c>
      <c r="X18" t="str">
        <f t="shared" si="3"/>
        <v>Huawei Smartwatch</v>
      </c>
      <c r="Z18" s="33">
        <v>160</v>
      </c>
      <c r="AB18" s="36" t="s">
        <v>73</v>
      </c>
      <c r="AC18" s="39" t="str">
        <f t="shared" si="4"/>
        <v>20-AUG</v>
      </c>
      <c r="AE18" s="16">
        <v>160</v>
      </c>
      <c r="AG18" s="5" t="s">
        <v>44</v>
      </c>
    </row>
    <row r="19" spans="1:33" ht="15.75" customHeight="1" x14ac:dyDescent="0.25">
      <c r="A19" s="8" t="s">
        <v>75</v>
      </c>
      <c r="B19" s="8" t="s">
        <v>59</v>
      </c>
      <c r="C19" s="8" t="s">
        <v>76</v>
      </c>
      <c r="D19" s="8">
        <v>980</v>
      </c>
      <c r="E19" s="8">
        <v>10</v>
      </c>
      <c r="F19" s="8" t="s">
        <v>27</v>
      </c>
      <c r="I19" s="10">
        <f t="shared" si="0"/>
        <v>980</v>
      </c>
      <c r="K19" s="8" t="s">
        <v>27</v>
      </c>
      <c r="L19" t="b">
        <f t="shared" si="2"/>
        <v>0</v>
      </c>
      <c r="N19" s="8" t="s">
        <v>59</v>
      </c>
      <c r="O19" s="8" t="str">
        <f t="shared" si="1"/>
        <v>Laptop</v>
      </c>
      <c r="Q19" s="20" t="s">
        <v>27</v>
      </c>
      <c r="S19" s="22" t="s">
        <v>59</v>
      </c>
      <c r="T19" s="22" t="s">
        <v>27</v>
      </c>
      <c r="V19" s="8" t="s">
        <v>76</v>
      </c>
      <c r="W19" s="8" t="s">
        <v>59</v>
      </c>
      <c r="X19" t="str">
        <f t="shared" si="3"/>
        <v>Asus Laptop</v>
      </c>
      <c r="Z19" s="34">
        <v>980</v>
      </c>
      <c r="AB19" s="37" t="s">
        <v>75</v>
      </c>
      <c r="AC19" s="39" t="str">
        <f t="shared" si="4"/>
        <v>27-JAN</v>
      </c>
      <c r="AE19" s="17">
        <v>980</v>
      </c>
      <c r="AG19" s="8" t="s">
        <v>27</v>
      </c>
    </row>
    <row r="20" spans="1:33" ht="15.75" customHeight="1" x14ac:dyDescent="0.25">
      <c r="A20" s="5" t="s">
        <v>77</v>
      </c>
      <c r="B20" s="5" t="s">
        <v>78</v>
      </c>
      <c r="C20" s="5" t="s">
        <v>79</v>
      </c>
      <c r="D20" s="5">
        <v>150</v>
      </c>
      <c r="E20" s="5">
        <v>15</v>
      </c>
      <c r="F20" s="5" t="s">
        <v>31</v>
      </c>
      <c r="I20" s="10">
        <f t="shared" si="0"/>
        <v>150</v>
      </c>
      <c r="K20" s="5" t="s">
        <v>31</v>
      </c>
      <c r="L20" t="b">
        <f t="shared" si="2"/>
        <v>0</v>
      </c>
      <c r="N20" s="5" t="s">
        <v>78</v>
      </c>
      <c r="O20" s="8" t="str">
        <f t="shared" si="1"/>
        <v>Sunglasses</v>
      </c>
      <c r="Q20" s="19" t="s">
        <v>31</v>
      </c>
      <c r="S20" s="21" t="s">
        <v>78</v>
      </c>
      <c r="T20" s="21" t="s">
        <v>31</v>
      </c>
      <c r="V20" s="5" t="s">
        <v>79</v>
      </c>
      <c r="W20" s="5" t="s">
        <v>78</v>
      </c>
      <c r="X20" t="str">
        <f t="shared" si="3"/>
        <v>Oakley Sunglasses</v>
      </c>
      <c r="Z20" s="33">
        <v>150</v>
      </c>
      <c r="AB20" s="36" t="s">
        <v>77</v>
      </c>
      <c r="AC20" s="39" t="str">
        <f t="shared" si="4"/>
        <v>01-MAR</v>
      </c>
      <c r="AE20" s="16">
        <v>150</v>
      </c>
      <c r="AG20" s="5" t="s">
        <v>31</v>
      </c>
    </row>
    <row r="21" spans="1:33" ht="15.75" customHeight="1" x14ac:dyDescent="0.25">
      <c r="A21" s="8" t="s">
        <v>80</v>
      </c>
      <c r="B21" s="8" t="s">
        <v>81</v>
      </c>
      <c r="C21" s="8" t="s">
        <v>82</v>
      </c>
      <c r="D21" s="8"/>
      <c r="E21" s="8">
        <v>10</v>
      </c>
      <c r="F21" s="8" t="s">
        <v>57</v>
      </c>
      <c r="I21" s="10">
        <f t="shared" si="0"/>
        <v>309.35483870967744</v>
      </c>
      <c r="K21" s="8" t="s">
        <v>57</v>
      </c>
      <c r="L21" t="b">
        <f t="shared" si="2"/>
        <v>0</v>
      </c>
      <c r="N21" s="8" t="s">
        <v>81</v>
      </c>
      <c r="O21" s="8" t="str">
        <f t="shared" si="1"/>
        <v>Camping Tent</v>
      </c>
      <c r="Q21" s="20" t="s">
        <v>57</v>
      </c>
      <c r="S21" s="22" t="s">
        <v>81</v>
      </c>
      <c r="T21" s="22" t="s">
        <v>57</v>
      </c>
      <c r="V21" s="8" t="s">
        <v>82</v>
      </c>
      <c r="W21" s="8" t="s">
        <v>81</v>
      </c>
      <c r="X21" t="str">
        <f t="shared" si="3"/>
        <v>Coleman Camping Tent</v>
      </c>
      <c r="Z21" s="34"/>
      <c r="AB21" s="37" t="s">
        <v>80</v>
      </c>
      <c r="AC21" s="39" t="str">
        <f t="shared" si="4"/>
        <v>14-AUG</v>
      </c>
      <c r="AE21" s="17"/>
      <c r="AG21" s="8" t="s">
        <v>57</v>
      </c>
    </row>
    <row r="22" spans="1:33" ht="15.75" customHeight="1" x14ac:dyDescent="0.25">
      <c r="A22" s="5" t="s">
        <v>83</v>
      </c>
      <c r="B22" s="5" t="s">
        <v>84</v>
      </c>
      <c r="C22" s="5" t="s">
        <v>85</v>
      </c>
      <c r="D22" s="5">
        <v>700</v>
      </c>
      <c r="E22" s="5">
        <v>50</v>
      </c>
      <c r="F22" s="5" t="s">
        <v>27</v>
      </c>
      <c r="I22" s="10">
        <f t="shared" si="0"/>
        <v>700</v>
      </c>
      <c r="K22" s="5" t="s">
        <v>27</v>
      </c>
      <c r="L22" t="b">
        <f t="shared" si="2"/>
        <v>0</v>
      </c>
      <c r="N22" s="5" t="s">
        <v>84</v>
      </c>
      <c r="O22" s="8" t="str">
        <f t="shared" si="1"/>
        <v>Camera</v>
      </c>
      <c r="Q22" s="19" t="s">
        <v>27</v>
      </c>
      <c r="S22" s="21" t="s">
        <v>84</v>
      </c>
      <c r="T22" s="21" t="s">
        <v>27</v>
      </c>
      <c r="V22" s="5" t="s">
        <v>85</v>
      </c>
      <c r="W22" s="5" t="s">
        <v>84</v>
      </c>
      <c r="X22" t="str">
        <f t="shared" si="3"/>
        <v>Nikon Camera</v>
      </c>
      <c r="Z22" s="33">
        <v>700</v>
      </c>
      <c r="AB22" s="36" t="s">
        <v>83</v>
      </c>
      <c r="AC22" s="39" t="str">
        <f t="shared" si="4"/>
        <v>14-MAY</v>
      </c>
      <c r="AE22" s="16">
        <v>700</v>
      </c>
      <c r="AG22" s="5" t="s">
        <v>27</v>
      </c>
    </row>
    <row r="23" spans="1:33" ht="15.75" customHeight="1" x14ac:dyDescent="0.25">
      <c r="A23" s="8" t="s">
        <v>86</v>
      </c>
      <c r="B23" s="8" t="s">
        <v>87</v>
      </c>
      <c r="C23" s="8" t="s">
        <v>88</v>
      </c>
      <c r="D23" s="8">
        <v>80</v>
      </c>
      <c r="E23" s="8">
        <v>20</v>
      </c>
      <c r="F23" s="8" t="s">
        <v>35</v>
      </c>
      <c r="I23" s="10">
        <f t="shared" si="0"/>
        <v>80</v>
      </c>
      <c r="K23" s="8" t="s">
        <v>35</v>
      </c>
      <c r="L23" t="b">
        <f t="shared" si="2"/>
        <v>0</v>
      </c>
      <c r="N23" s="8" t="s">
        <v>87</v>
      </c>
      <c r="O23" s="8" t="str">
        <f t="shared" si="1"/>
        <v>Microwave</v>
      </c>
      <c r="Q23" s="20" t="s">
        <v>35</v>
      </c>
      <c r="S23" s="22" t="s">
        <v>87</v>
      </c>
      <c r="T23" s="22" t="s">
        <v>35</v>
      </c>
      <c r="V23" s="8" t="s">
        <v>88</v>
      </c>
      <c r="W23" s="8" t="s">
        <v>87</v>
      </c>
      <c r="X23" t="str">
        <f t="shared" si="3"/>
        <v>Panasonic Microwave</v>
      </c>
      <c r="Z23" s="34">
        <v>80</v>
      </c>
      <c r="AB23" s="37" t="s">
        <v>86</v>
      </c>
      <c r="AC23" s="39" t="str">
        <f t="shared" si="4"/>
        <v>09-JAN</v>
      </c>
      <c r="AE23" s="17">
        <v>80</v>
      </c>
      <c r="AG23" s="8" t="s">
        <v>35</v>
      </c>
    </row>
    <row r="24" spans="1:33" ht="15.75" customHeight="1" x14ac:dyDescent="0.25">
      <c r="A24" s="5" t="s">
        <v>89</v>
      </c>
      <c r="B24" s="5" t="s">
        <v>90</v>
      </c>
      <c r="C24" s="5" t="s">
        <v>91</v>
      </c>
      <c r="D24" s="5">
        <v>150</v>
      </c>
      <c r="E24" s="5">
        <v>30</v>
      </c>
      <c r="F24" s="5"/>
      <c r="I24" s="10">
        <f t="shared" si="0"/>
        <v>150</v>
      </c>
      <c r="K24" s="5"/>
      <c r="L24" t="b">
        <f t="shared" si="2"/>
        <v>1</v>
      </c>
      <c r="N24" s="5" t="s">
        <v>90</v>
      </c>
      <c r="O24" s="8" t="str">
        <f t="shared" si="1"/>
        <v>Fitness Tracker</v>
      </c>
      <c r="Q24" s="19"/>
      <c r="S24" s="21" t="s">
        <v>90</v>
      </c>
      <c r="T24" s="21"/>
      <c r="V24" s="5" t="s">
        <v>91</v>
      </c>
      <c r="W24" s="5" t="s">
        <v>90</v>
      </c>
      <c r="X24" t="str">
        <f t="shared" si="3"/>
        <v>Xiaomi Fitness Tracker</v>
      </c>
      <c r="Z24" s="33">
        <v>150</v>
      </c>
      <c r="AB24" s="36" t="s">
        <v>89</v>
      </c>
      <c r="AC24" s="39" t="str">
        <f t="shared" si="4"/>
        <v>19-JUL</v>
      </c>
      <c r="AE24" s="16">
        <v>150</v>
      </c>
      <c r="AG24" s="5"/>
    </row>
    <row r="25" spans="1:33" ht="15.75" customHeight="1" x14ac:dyDescent="0.25">
      <c r="A25" s="8" t="s">
        <v>69</v>
      </c>
      <c r="B25" s="8" t="s">
        <v>70</v>
      </c>
      <c r="C25" s="8" t="s">
        <v>71</v>
      </c>
      <c r="D25" s="8">
        <v>50</v>
      </c>
      <c r="E25" s="8">
        <v>35</v>
      </c>
      <c r="F25" s="8" t="s">
        <v>72</v>
      </c>
      <c r="I25" s="10">
        <f t="shared" si="0"/>
        <v>50</v>
      </c>
      <c r="K25" s="8" t="s">
        <v>72</v>
      </c>
      <c r="L25" t="b">
        <f t="shared" si="2"/>
        <v>0</v>
      </c>
      <c r="N25" s="8" t="s">
        <v>70</v>
      </c>
      <c r="O25" s="8" t="str">
        <f t="shared" si="1"/>
        <v>Laptop Bag</v>
      </c>
      <c r="Q25" s="20" t="s">
        <v>72</v>
      </c>
      <c r="S25" s="22" t="s">
        <v>70</v>
      </c>
      <c r="T25" s="22" t="s">
        <v>72</v>
      </c>
      <c r="V25" s="8" t="s">
        <v>71</v>
      </c>
      <c r="W25" s="8" t="s">
        <v>70</v>
      </c>
      <c r="X25" t="str">
        <f t="shared" si="3"/>
        <v>Samsonite Laptop Bag</v>
      </c>
      <c r="Z25" s="34">
        <v>50</v>
      </c>
      <c r="AB25" s="37" t="s">
        <v>69</v>
      </c>
      <c r="AC25" s="39" t="str">
        <f t="shared" si="4"/>
        <v>21-AUG</v>
      </c>
      <c r="AE25" s="17">
        <v>50</v>
      </c>
      <c r="AG25" s="8" t="s">
        <v>72</v>
      </c>
    </row>
    <row r="26" spans="1:33" ht="15.75" customHeight="1" x14ac:dyDescent="0.25">
      <c r="A26" s="5" t="s">
        <v>92</v>
      </c>
      <c r="B26" s="5" t="s">
        <v>93</v>
      </c>
      <c r="C26" s="5" t="s">
        <v>94</v>
      </c>
      <c r="D26" s="5">
        <v>800</v>
      </c>
      <c r="E26" s="5">
        <v>45</v>
      </c>
      <c r="F26" s="5" t="s">
        <v>27</v>
      </c>
      <c r="I26" s="10">
        <f t="shared" si="0"/>
        <v>800</v>
      </c>
      <c r="K26" s="5" t="s">
        <v>27</v>
      </c>
      <c r="L26" t="b">
        <f t="shared" si="2"/>
        <v>0</v>
      </c>
      <c r="N26" s="5" t="s">
        <v>93</v>
      </c>
      <c r="O26" s="8" t="str">
        <f t="shared" si="1"/>
        <v>Smartphone</v>
      </c>
      <c r="Q26" s="19" t="s">
        <v>27</v>
      </c>
      <c r="S26" s="21" t="s">
        <v>93</v>
      </c>
      <c r="T26" s="21" t="s">
        <v>27</v>
      </c>
      <c r="V26" s="5" t="s">
        <v>94</v>
      </c>
      <c r="W26" s="5" t="s">
        <v>93</v>
      </c>
      <c r="X26" t="str">
        <f t="shared" si="3"/>
        <v>Google Smartphone</v>
      </c>
      <c r="Z26" s="33">
        <v>800</v>
      </c>
      <c r="AB26" s="36" t="s">
        <v>92</v>
      </c>
      <c r="AC26" s="39" t="str">
        <f t="shared" si="4"/>
        <v>29-SEP</v>
      </c>
      <c r="AE26" s="16">
        <v>800</v>
      </c>
      <c r="AG26" s="5" t="s">
        <v>27</v>
      </c>
    </row>
    <row r="27" spans="1:33" ht="15.75" customHeight="1" x14ac:dyDescent="0.25">
      <c r="A27" s="8" t="s">
        <v>95</v>
      </c>
      <c r="B27" s="8" t="s">
        <v>78</v>
      </c>
      <c r="C27" s="8" t="s">
        <v>96</v>
      </c>
      <c r="D27" s="8"/>
      <c r="E27" s="8">
        <v>25</v>
      </c>
      <c r="F27" s="8" t="s">
        <v>31</v>
      </c>
      <c r="I27" s="10">
        <f t="shared" si="0"/>
        <v>309.35483870967744</v>
      </c>
      <c r="K27" s="8" t="s">
        <v>31</v>
      </c>
      <c r="L27" t="b">
        <f t="shared" si="2"/>
        <v>0</v>
      </c>
      <c r="N27" s="8" t="s">
        <v>78</v>
      </c>
      <c r="O27" s="8" t="str">
        <f t="shared" si="1"/>
        <v>Sunglasses</v>
      </c>
      <c r="Q27" s="20" t="s">
        <v>31</v>
      </c>
      <c r="S27" s="22" t="s">
        <v>78</v>
      </c>
      <c r="T27" s="22" t="s">
        <v>31</v>
      </c>
      <c r="V27" s="8" t="s">
        <v>96</v>
      </c>
      <c r="W27" s="8" t="s">
        <v>78</v>
      </c>
      <c r="X27" t="str">
        <f t="shared" si="3"/>
        <v>Ray-Ban Sunglasses</v>
      </c>
      <c r="Z27" s="34"/>
      <c r="AB27" s="37" t="s">
        <v>95</v>
      </c>
      <c r="AC27" s="39" t="str">
        <f t="shared" si="4"/>
        <v>03-JUN</v>
      </c>
      <c r="AE27" s="17"/>
      <c r="AG27" s="8" t="s">
        <v>31</v>
      </c>
    </row>
    <row r="28" spans="1:33" ht="15.75" customHeight="1" x14ac:dyDescent="0.25">
      <c r="A28" s="5" t="s">
        <v>97</v>
      </c>
      <c r="B28" s="5" t="s">
        <v>49</v>
      </c>
      <c r="C28" s="5" t="s">
        <v>98</v>
      </c>
      <c r="D28" s="5">
        <v>400</v>
      </c>
      <c r="E28" s="5">
        <v>40</v>
      </c>
      <c r="F28" s="5" t="s">
        <v>35</v>
      </c>
      <c r="I28" s="10">
        <f t="shared" si="0"/>
        <v>400</v>
      </c>
      <c r="K28" s="5" t="s">
        <v>35</v>
      </c>
      <c r="L28" t="b">
        <f t="shared" si="2"/>
        <v>0</v>
      </c>
      <c r="N28" s="5" t="s">
        <v>49</v>
      </c>
      <c r="O28" s="8" t="str">
        <f t="shared" si="1"/>
        <v>Blender</v>
      </c>
      <c r="Q28" s="19" t="s">
        <v>35</v>
      </c>
      <c r="S28" s="21" t="s">
        <v>49</v>
      </c>
      <c r="T28" s="21" t="s">
        <v>35</v>
      </c>
      <c r="V28" s="5" t="s">
        <v>98</v>
      </c>
      <c r="W28" s="5" t="s">
        <v>49</v>
      </c>
      <c r="X28" t="str">
        <f t="shared" si="3"/>
        <v>Vitamix Blender</v>
      </c>
      <c r="Z28" s="33">
        <v>400</v>
      </c>
      <c r="AB28" s="36" t="s">
        <v>97</v>
      </c>
      <c r="AC28" s="39" t="str">
        <f t="shared" si="4"/>
        <v>11-JUL</v>
      </c>
      <c r="AE28" s="16">
        <v>400</v>
      </c>
      <c r="AG28" s="5" t="s">
        <v>35</v>
      </c>
    </row>
    <row r="29" spans="1:33" ht="15.75" customHeight="1" x14ac:dyDescent="0.25">
      <c r="A29" s="8" t="s">
        <v>67</v>
      </c>
      <c r="B29" s="8" t="s">
        <v>42</v>
      </c>
      <c r="C29" s="8" t="s">
        <v>68</v>
      </c>
      <c r="D29" s="8">
        <v>250</v>
      </c>
      <c r="E29" s="8">
        <v>20</v>
      </c>
      <c r="F29" s="8" t="s">
        <v>44</v>
      </c>
      <c r="I29" s="10">
        <f t="shared" si="0"/>
        <v>250</v>
      </c>
      <c r="K29" s="8" t="s">
        <v>44</v>
      </c>
      <c r="L29" t="b">
        <f t="shared" si="2"/>
        <v>0</v>
      </c>
      <c r="N29" s="8" t="s">
        <v>42</v>
      </c>
      <c r="O29" s="8" t="str">
        <f t="shared" si="1"/>
        <v>Headphones</v>
      </c>
      <c r="Q29" s="20" t="s">
        <v>27</v>
      </c>
      <c r="S29" s="22" t="s">
        <v>42</v>
      </c>
      <c r="T29" s="22" t="s">
        <v>27</v>
      </c>
      <c r="V29" s="8" t="s">
        <v>68</v>
      </c>
      <c r="W29" s="8" t="s">
        <v>42</v>
      </c>
      <c r="X29" t="str">
        <f t="shared" si="3"/>
        <v>Bose Headphones</v>
      </c>
      <c r="Z29" s="34">
        <v>250</v>
      </c>
      <c r="AB29" s="37" t="s">
        <v>67</v>
      </c>
      <c r="AC29" s="39" t="str">
        <f t="shared" si="4"/>
        <v>16-APR</v>
      </c>
      <c r="AE29" s="17">
        <v>250</v>
      </c>
      <c r="AG29" s="8" t="s">
        <v>44</v>
      </c>
    </row>
    <row r="30" spans="1:33" ht="15.75" customHeight="1" x14ac:dyDescent="0.25">
      <c r="A30" s="5" t="s">
        <v>99</v>
      </c>
      <c r="B30" s="5" t="s">
        <v>100</v>
      </c>
      <c r="C30" s="5" t="s">
        <v>101</v>
      </c>
      <c r="D30" s="5">
        <v>60</v>
      </c>
      <c r="E30" s="5">
        <v>30</v>
      </c>
      <c r="F30" s="5" t="s">
        <v>31</v>
      </c>
      <c r="I30" s="10">
        <f t="shared" si="0"/>
        <v>60</v>
      </c>
      <c r="K30" s="5" t="s">
        <v>31</v>
      </c>
      <c r="L30" t="b">
        <f t="shared" si="2"/>
        <v>0</v>
      </c>
      <c r="N30" s="5" t="s">
        <v>100</v>
      </c>
      <c r="O30" s="8" t="str">
        <f t="shared" si="1"/>
        <v>Dress</v>
      </c>
      <c r="Q30" s="19" t="s">
        <v>31</v>
      </c>
      <c r="S30" s="21" t="s">
        <v>100</v>
      </c>
      <c r="T30" s="21" t="s">
        <v>31</v>
      </c>
      <c r="V30" s="5" t="s">
        <v>101</v>
      </c>
      <c r="W30" s="5" t="s">
        <v>100</v>
      </c>
      <c r="X30" t="str">
        <f t="shared" si="3"/>
        <v>Zara Dress</v>
      </c>
      <c r="Z30" s="33">
        <v>60</v>
      </c>
      <c r="AB30" s="36" t="s">
        <v>99</v>
      </c>
      <c r="AC30" s="39" t="str">
        <f t="shared" si="4"/>
        <v>07-MAR</v>
      </c>
      <c r="AE30" s="16">
        <v>60</v>
      </c>
      <c r="AG30" s="5" t="s">
        <v>31</v>
      </c>
    </row>
    <row r="31" spans="1:33" ht="15.75" customHeight="1" x14ac:dyDescent="0.25">
      <c r="A31" s="8" t="s">
        <v>102</v>
      </c>
      <c r="B31" s="8" t="s">
        <v>103</v>
      </c>
      <c r="C31" s="8" t="s">
        <v>104</v>
      </c>
      <c r="D31" s="8">
        <v>40</v>
      </c>
      <c r="E31" s="8">
        <v>10</v>
      </c>
      <c r="F31" s="8" t="s">
        <v>35</v>
      </c>
      <c r="I31" s="10">
        <f t="shared" si="0"/>
        <v>40</v>
      </c>
      <c r="K31" s="8" t="s">
        <v>35</v>
      </c>
      <c r="L31" t="b">
        <f t="shared" si="2"/>
        <v>0</v>
      </c>
      <c r="N31" s="8" t="s">
        <v>103</v>
      </c>
      <c r="O31" s="8" t="str">
        <f t="shared" si="1"/>
        <v>Toaster</v>
      </c>
      <c r="Q31" s="20" t="s">
        <v>35</v>
      </c>
      <c r="S31" s="22" t="s">
        <v>103</v>
      </c>
      <c r="T31" s="22" t="s">
        <v>35</v>
      </c>
      <c r="V31" s="8" t="s">
        <v>104</v>
      </c>
      <c r="W31" s="8" t="s">
        <v>103</v>
      </c>
      <c r="X31" t="str">
        <f t="shared" si="3"/>
        <v>Hamilton Toaster</v>
      </c>
      <c r="Z31" s="34">
        <v>40</v>
      </c>
      <c r="AB31" s="37" t="s">
        <v>102</v>
      </c>
      <c r="AC31" s="39" t="str">
        <f t="shared" si="4"/>
        <v>13-APR</v>
      </c>
      <c r="AE31" s="17">
        <v>40</v>
      </c>
      <c r="AG31" s="8" t="s">
        <v>35</v>
      </c>
    </row>
    <row r="32" spans="1:33" ht="15.75" customHeight="1" x14ac:dyDescent="0.25">
      <c r="A32" s="5" t="s">
        <v>105</v>
      </c>
      <c r="B32" s="5" t="s">
        <v>90</v>
      </c>
      <c r="C32" s="5" t="s">
        <v>106</v>
      </c>
      <c r="D32" s="5">
        <v>130</v>
      </c>
      <c r="E32" s="5">
        <v>5</v>
      </c>
      <c r="F32" s="5" t="s">
        <v>27</v>
      </c>
      <c r="I32" s="10">
        <f t="shared" si="0"/>
        <v>130</v>
      </c>
      <c r="K32" s="5" t="s">
        <v>27</v>
      </c>
      <c r="L32" t="b">
        <f t="shared" si="2"/>
        <v>0</v>
      </c>
      <c r="N32" s="5" t="s">
        <v>90</v>
      </c>
      <c r="O32" s="8" t="str">
        <f t="shared" si="1"/>
        <v>Fitness Tracker</v>
      </c>
      <c r="Q32" s="19" t="s">
        <v>27</v>
      </c>
      <c r="S32" s="21" t="s">
        <v>90</v>
      </c>
      <c r="T32" s="21" t="s">
        <v>27</v>
      </c>
      <c r="V32" s="5" t="s">
        <v>106</v>
      </c>
      <c r="W32" s="5" t="s">
        <v>90</v>
      </c>
      <c r="X32" t="str">
        <f t="shared" si="3"/>
        <v>Garmin Fitness Tracker</v>
      </c>
      <c r="Z32" s="33">
        <v>130</v>
      </c>
      <c r="AB32" s="36" t="s">
        <v>105</v>
      </c>
      <c r="AC32" s="39" t="str">
        <f t="shared" si="4"/>
        <v>24-MAY</v>
      </c>
      <c r="AE32" s="16">
        <v>130</v>
      </c>
      <c r="AG32" s="5" t="s">
        <v>27</v>
      </c>
    </row>
    <row r="33" spans="1:33" ht="15.75" customHeight="1" x14ac:dyDescent="0.25">
      <c r="A33" s="8" t="s">
        <v>107</v>
      </c>
      <c r="B33" s="8" t="s">
        <v>108</v>
      </c>
      <c r="C33" s="8" t="s">
        <v>109</v>
      </c>
      <c r="D33" s="8">
        <v>50</v>
      </c>
      <c r="E33" s="8">
        <v>50</v>
      </c>
      <c r="F33" s="8" t="s">
        <v>31</v>
      </c>
      <c r="I33" s="10">
        <f t="shared" si="0"/>
        <v>50</v>
      </c>
      <c r="K33" s="8" t="s">
        <v>31</v>
      </c>
      <c r="L33" t="b">
        <f t="shared" si="2"/>
        <v>0</v>
      </c>
      <c r="N33" s="8" t="s">
        <v>108</v>
      </c>
      <c r="O33" s="8" t="str">
        <f t="shared" si="1"/>
        <v>Jeans</v>
      </c>
      <c r="Q33" s="20" t="s">
        <v>31</v>
      </c>
      <c r="S33" s="22" t="s">
        <v>108</v>
      </c>
      <c r="T33" s="22" t="s">
        <v>31</v>
      </c>
      <c r="V33" s="8" t="s">
        <v>109</v>
      </c>
      <c r="W33" s="8" t="s">
        <v>108</v>
      </c>
      <c r="X33" t="str">
        <f t="shared" si="3"/>
        <v>Levi's Jeans</v>
      </c>
      <c r="Z33" s="34">
        <v>50</v>
      </c>
      <c r="AB33" s="37" t="s">
        <v>107</v>
      </c>
      <c r="AC33" s="39" t="str">
        <f t="shared" si="4"/>
        <v>02-DEC</v>
      </c>
      <c r="AE33" s="17">
        <v>50</v>
      </c>
      <c r="AG33" s="8" t="s">
        <v>31</v>
      </c>
    </row>
    <row r="34" spans="1:33" ht="15.75" customHeight="1" x14ac:dyDescent="0.25">
      <c r="A34" s="5" t="s">
        <v>58</v>
      </c>
      <c r="B34" s="5" t="s">
        <v>59</v>
      </c>
      <c r="C34" s="5" t="s">
        <v>60</v>
      </c>
      <c r="D34" s="5">
        <v>950</v>
      </c>
      <c r="E34" s="5">
        <v>25</v>
      </c>
      <c r="F34" s="5" t="s">
        <v>27</v>
      </c>
      <c r="I34" s="10">
        <f t="shared" si="0"/>
        <v>950</v>
      </c>
      <c r="K34" s="5" t="s">
        <v>27</v>
      </c>
      <c r="L34" t="b">
        <f t="shared" si="2"/>
        <v>0</v>
      </c>
      <c r="N34" s="5" t="s">
        <v>59</v>
      </c>
      <c r="O34" s="8" t="str">
        <f t="shared" si="1"/>
        <v>Laptop</v>
      </c>
      <c r="Q34" s="19" t="s">
        <v>27</v>
      </c>
      <c r="S34" s="21" t="s">
        <v>59</v>
      </c>
      <c r="T34" s="21" t="s">
        <v>27</v>
      </c>
      <c r="V34" s="5" t="s">
        <v>60</v>
      </c>
      <c r="W34" s="5" t="s">
        <v>59</v>
      </c>
      <c r="X34" t="str">
        <f t="shared" si="3"/>
        <v>HP Laptop</v>
      </c>
      <c r="Z34" s="33">
        <v>950</v>
      </c>
      <c r="AB34" s="36" t="s">
        <v>58</v>
      </c>
      <c r="AC34" s="39" t="str">
        <f t="shared" si="4"/>
        <v>17-JUN</v>
      </c>
      <c r="AE34" s="16">
        <v>950</v>
      </c>
      <c r="AG34" s="5" t="s">
        <v>27</v>
      </c>
    </row>
    <row r="35" spans="1:33" ht="15.75" customHeight="1" x14ac:dyDescent="0.25">
      <c r="A35" s="8" t="s">
        <v>110</v>
      </c>
      <c r="B35" s="8" t="s">
        <v>111</v>
      </c>
      <c r="C35" s="8" t="s">
        <v>112</v>
      </c>
      <c r="D35" s="8">
        <v>100</v>
      </c>
      <c r="E35" s="8">
        <v>20</v>
      </c>
      <c r="F35" s="8" t="s">
        <v>72</v>
      </c>
      <c r="I35" s="10">
        <f t="shared" si="0"/>
        <v>100</v>
      </c>
      <c r="K35" s="8" t="s">
        <v>72</v>
      </c>
      <c r="L35" t="b">
        <f t="shared" si="2"/>
        <v>0</v>
      </c>
      <c r="N35" s="8" t="s">
        <v>111</v>
      </c>
      <c r="O35" s="8" t="str">
        <f t="shared" si="1"/>
        <v>Watch</v>
      </c>
      <c r="Q35" s="20" t="s">
        <v>72</v>
      </c>
      <c r="S35" s="22" t="s">
        <v>111</v>
      </c>
      <c r="T35" s="22" t="s">
        <v>72</v>
      </c>
      <c r="V35" s="8" t="s">
        <v>112</v>
      </c>
      <c r="W35" s="8" t="s">
        <v>111</v>
      </c>
      <c r="X35" t="str">
        <f t="shared" si="3"/>
        <v>Casio Watch</v>
      </c>
      <c r="Z35" s="34">
        <v>100</v>
      </c>
      <c r="AB35" s="37" t="s">
        <v>110</v>
      </c>
      <c r="AC35" s="39" t="str">
        <f t="shared" si="4"/>
        <v>09-JUL</v>
      </c>
      <c r="AE35" s="17">
        <v>100</v>
      </c>
      <c r="AG35" s="8" t="s">
        <v>72</v>
      </c>
    </row>
    <row r="36" spans="1:33" ht="15.75" customHeight="1" thickBot="1" x14ac:dyDescent="0.3">
      <c r="W36" s="5"/>
    </row>
    <row r="37" spans="1:33" ht="15.75" customHeight="1" thickBot="1" x14ac:dyDescent="0.3">
      <c r="K37" s="12" t="s">
        <v>113</v>
      </c>
      <c r="L37" s="13">
        <f>COUNTBLANK(K2:K35)</f>
        <v>4</v>
      </c>
      <c r="S37" s="29" t="s">
        <v>121</v>
      </c>
      <c r="W37" s="31"/>
    </row>
    <row r="38" spans="1:33" ht="15.75" customHeight="1" x14ac:dyDescent="0.25"/>
    <row r="39" spans="1:33" ht="15.75" customHeight="1" x14ac:dyDescent="0.25"/>
    <row r="40" spans="1:33" ht="15.75" customHeight="1" x14ac:dyDescent="0.25"/>
    <row r="41" spans="1:33" ht="15.75" customHeight="1" x14ac:dyDescent="0.25"/>
    <row r="42" spans="1:33" ht="15.75" customHeight="1" x14ac:dyDescent="0.25"/>
    <row r="43" spans="1:33" ht="15.75" customHeight="1" x14ac:dyDescent="0.25"/>
    <row r="44" spans="1:33" ht="15.75" customHeight="1" x14ac:dyDescent="0.25"/>
    <row r="45" spans="1:33" ht="15.75" customHeight="1" x14ac:dyDescent="0.25"/>
    <row r="46" spans="1:33" ht="15.75" customHeight="1" x14ac:dyDescent="0.25"/>
    <row r="47" spans="1:33" ht="15.75" customHeight="1" x14ac:dyDescent="0.25"/>
    <row r="48" spans="1:3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K1:L3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:AE3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{3260D624-F28D-4CF7-8099-DE22BAAEAA48}</x14:id>
        </ext>
      </extLst>
    </cfRule>
  </conditionalFormatting>
  <conditionalFormatting sqref="AG2:AG35">
    <cfRule type="cellIs" priority="3" operator="equal">
      <formula>"Electronics"</formula>
    </cfRule>
    <cfRule type="expression" dxfId="0" priority="1">
      <formula>$AG2="ELECTRONICS"</formula>
    </cfRule>
  </conditionalFormatting>
  <conditionalFormatting sqref="AI36">
    <cfRule type="cellIs" dxfId="1" priority="2" operator="equal">
      <formula>"Electronics"</formula>
    </cfRule>
  </conditionalFormatting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60D624-F28D-4CF7-8099-DE22BAAEAA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AE1:AE35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059F-64A8-428D-98D1-C2CB8FF53E44}">
  <dimension ref="A1:A35"/>
  <sheetViews>
    <sheetView workbookViewId="0"/>
  </sheetViews>
  <sheetFormatPr defaultRowHeight="13.2" x14ac:dyDescent="0.25"/>
  <cols>
    <col min="1" max="1" width="13.5546875" customWidth="1"/>
  </cols>
  <sheetData>
    <row r="1" spans="1:1" x14ac:dyDescent="0.25">
      <c r="A1" s="35" t="s">
        <v>153</v>
      </c>
    </row>
    <row r="2" spans="1:1" x14ac:dyDescent="0.25">
      <c r="A2" s="35">
        <v>1000</v>
      </c>
    </row>
    <row r="3" spans="1:1" x14ac:dyDescent="0.25">
      <c r="A3" s="35">
        <v>80</v>
      </c>
    </row>
    <row r="4" spans="1:1" x14ac:dyDescent="0.25">
      <c r="A4" s="35">
        <v>130</v>
      </c>
    </row>
    <row r="5" spans="1:1" x14ac:dyDescent="0.25">
      <c r="A5" s="35">
        <v>900</v>
      </c>
    </row>
    <row r="6" spans="1:1" x14ac:dyDescent="0.25">
      <c r="A6" s="35">
        <v>70</v>
      </c>
    </row>
    <row r="7" spans="1:1" x14ac:dyDescent="0.25">
      <c r="A7" s="35"/>
    </row>
    <row r="8" spans="1:1" x14ac:dyDescent="0.25">
      <c r="A8" s="35">
        <v>30</v>
      </c>
    </row>
    <row r="9" spans="1:1" x14ac:dyDescent="0.25">
      <c r="A9" s="35">
        <v>90</v>
      </c>
    </row>
    <row r="10" spans="1:1" x14ac:dyDescent="0.25">
      <c r="A10" s="35">
        <v>500</v>
      </c>
    </row>
    <row r="11" spans="1:1" x14ac:dyDescent="0.25">
      <c r="A11" s="35">
        <v>130</v>
      </c>
    </row>
    <row r="12" spans="1:1" x14ac:dyDescent="0.25">
      <c r="A12" s="35">
        <v>950</v>
      </c>
    </row>
    <row r="13" spans="1:1" x14ac:dyDescent="0.25">
      <c r="A13" s="35">
        <v>90</v>
      </c>
    </row>
    <row r="14" spans="1:1" x14ac:dyDescent="0.25">
      <c r="A14" s="35">
        <v>120</v>
      </c>
    </row>
    <row r="15" spans="1:1" x14ac:dyDescent="0.25">
      <c r="A15" s="35">
        <v>150</v>
      </c>
    </row>
    <row r="16" spans="1:1" x14ac:dyDescent="0.25">
      <c r="A16" s="35">
        <v>250</v>
      </c>
    </row>
    <row r="17" spans="1:1" x14ac:dyDescent="0.25">
      <c r="A17" s="35">
        <v>50</v>
      </c>
    </row>
    <row r="18" spans="1:1" x14ac:dyDescent="0.25">
      <c r="A18" s="35">
        <v>160</v>
      </c>
    </row>
    <row r="19" spans="1:1" x14ac:dyDescent="0.25">
      <c r="A19" s="35">
        <v>980</v>
      </c>
    </row>
    <row r="20" spans="1:1" x14ac:dyDescent="0.25">
      <c r="A20" s="35">
        <v>150</v>
      </c>
    </row>
    <row r="21" spans="1:1" x14ac:dyDescent="0.25">
      <c r="A21" s="35"/>
    </row>
    <row r="22" spans="1:1" x14ac:dyDescent="0.25">
      <c r="A22" s="35">
        <v>700</v>
      </c>
    </row>
    <row r="23" spans="1:1" x14ac:dyDescent="0.25">
      <c r="A23" s="35">
        <v>80</v>
      </c>
    </row>
    <row r="24" spans="1:1" x14ac:dyDescent="0.25">
      <c r="A24" s="35">
        <v>150</v>
      </c>
    </row>
    <row r="25" spans="1:1" x14ac:dyDescent="0.25">
      <c r="A25" s="35">
        <v>50</v>
      </c>
    </row>
    <row r="26" spans="1:1" x14ac:dyDescent="0.25">
      <c r="A26" s="35">
        <v>800</v>
      </c>
    </row>
    <row r="27" spans="1:1" x14ac:dyDescent="0.25">
      <c r="A27" s="35"/>
    </row>
    <row r="28" spans="1:1" x14ac:dyDescent="0.25">
      <c r="A28" s="35">
        <v>400</v>
      </c>
    </row>
    <row r="29" spans="1:1" x14ac:dyDescent="0.25">
      <c r="A29" s="35">
        <v>250</v>
      </c>
    </row>
    <row r="30" spans="1:1" x14ac:dyDescent="0.25">
      <c r="A30" s="35">
        <v>60</v>
      </c>
    </row>
    <row r="31" spans="1:1" x14ac:dyDescent="0.25">
      <c r="A31" s="35">
        <v>40</v>
      </c>
    </row>
    <row r="32" spans="1:1" x14ac:dyDescent="0.25">
      <c r="A32" s="35">
        <v>130</v>
      </c>
    </row>
    <row r="33" spans="1:1" x14ac:dyDescent="0.25">
      <c r="A33" s="35">
        <v>50</v>
      </c>
    </row>
    <row r="34" spans="1:1" x14ac:dyDescent="0.25">
      <c r="A34" s="35">
        <v>950</v>
      </c>
    </row>
    <row r="35" spans="1:1" x14ac:dyDescent="0.25">
      <c r="A35" s="35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60E2-5678-4B8B-B4B9-5AE1CD3ED2F5}">
  <dimension ref="A1:C35"/>
  <sheetViews>
    <sheetView workbookViewId="0">
      <selection sqref="A1:C35"/>
    </sheetView>
  </sheetViews>
  <sheetFormatPr defaultRowHeight="13.2" x14ac:dyDescent="0.25"/>
  <cols>
    <col min="1" max="3" width="15.77734375" bestFit="1" customWidth="1"/>
  </cols>
  <sheetData>
    <row r="1" spans="1:3" x14ac:dyDescent="0.25">
      <c r="A1" s="10" t="s">
        <v>124</v>
      </c>
      <c r="B1" s="10" t="s">
        <v>125</v>
      </c>
      <c r="C1" s="10" t="s">
        <v>126</v>
      </c>
    </row>
    <row r="2" spans="1:3" x14ac:dyDescent="0.25">
      <c r="A2" s="10">
        <v>28</v>
      </c>
      <c r="B2" s="30" t="s">
        <v>127</v>
      </c>
      <c r="C2" s="30" t="s">
        <v>128</v>
      </c>
    </row>
    <row r="3" spans="1:3" x14ac:dyDescent="0.25">
      <c r="A3" s="10">
        <v>15</v>
      </c>
      <c r="B3" s="30" t="s">
        <v>129</v>
      </c>
      <c r="C3" s="30" t="s">
        <v>128</v>
      </c>
    </row>
    <row r="4" spans="1:3" x14ac:dyDescent="0.25">
      <c r="A4" s="10">
        <v>3</v>
      </c>
      <c r="B4" s="30" t="s">
        <v>130</v>
      </c>
      <c r="C4" s="30" t="s">
        <v>128</v>
      </c>
    </row>
    <row r="5" spans="1:3" x14ac:dyDescent="0.25">
      <c r="A5" s="10">
        <v>11</v>
      </c>
      <c r="B5" s="30" t="s">
        <v>131</v>
      </c>
      <c r="C5" s="30" t="s">
        <v>128</v>
      </c>
    </row>
    <row r="6" spans="1:3" x14ac:dyDescent="0.25">
      <c r="A6" s="10">
        <v>22</v>
      </c>
      <c r="B6" s="30" t="s">
        <v>132</v>
      </c>
      <c r="C6" s="30" t="s">
        <v>128</v>
      </c>
    </row>
    <row r="7" spans="1:3" x14ac:dyDescent="0.25">
      <c r="A7" s="10">
        <v>7</v>
      </c>
      <c r="B7" s="30" t="s">
        <v>133</v>
      </c>
      <c r="C7" s="30" t="s">
        <v>134</v>
      </c>
    </row>
    <row r="8" spans="1:3" x14ac:dyDescent="0.25">
      <c r="A8" s="10">
        <v>19</v>
      </c>
      <c r="B8" s="30" t="s">
        <v>135</v>
      </c>
      <c r="C8" s="30" t="s">
        <v>134</v>
      </c>
    </row>
    <row r="9" spans="1:3" x14ac:dyDescent="0.25">
      <c r="A9" s="10">
        <v>23</v>
      </c>
      <c r="B9" s="30" t="s">
        <v>136</v>
      </c>
      <c r="C9" s="30" t="s">
        <v>134</v>
      </c>
    </row>
    <row r="10" spans="1:3" x14ac:dyDescent="0.25">
      <c r="A10" s="10">
        <v>5</v>
      </c>
      <c r="B10" s="30" t="s">
        <v>137</v>
      </c>
      <c r="C10" s="30" t="s">
        <v>134</v>
      </c>
    </row>
    <row r="11" spans="1:3" x14ac:dyDescent="0.25">
      <c r="A11" s="10">
        <v>14</v>
      </c>
      <c r="B11" s="30" t="s">
        <v>138</v>
      </c>
      <c r="C11" s="30" t="s">
        <v>134</v>
      </c>
    </row>
    <row r="12" spans="1:3" x14ac:dyDescent="0.25">
      <c r="A12" s="10">
        <v>17</v>
      </c>
      <c r="B12" s="30" t="s">
        <v>133</v>
      </c>
      <c r="C12" s="30" t="s">
        <v>139</v>
      </c>
    </row>
    <row r="13" spans="1:3" x14ac:dyDescent="0.25">
      <c r="A13" s="10">
        <v>25</v>
      </c>
      <c r="B13" s="30" t="s">
        <v>140</v>
      </c>
      <c r="C13" s="30" t="s">
        <v>141</v>
      </c>
    </row>
    <row r="14" spans="1:3" x14ac:dyDescent="0.25">
      <c r="A14" s="10">
        <v>8</v>
      </c>
      <c r="B14" s="30" t="s">
        <v>142</v>
      </c>
      <c r="C14" s="30" t="s">
        <v>143</v>
      </c>
    </row>
    <row r="15" spans="1:3" x14ac:dyDescent="0.25">
      <c r="A15" s="10">
        <v>18</v>
      </c>
      <c r="B15" s="30" t="s">
        <v>129</v>
      </c>
      <c r="C15" s="30" t="s">
        <v>144</v>
      </c>
    </row>
    <row r="16" spans="1:3" x14ac:dyDescent="0.25">
      <c r="A16" s="10">
        <v>16</v>
      </c>
      <c r="B16" s="30" t="s">
        <v>131</v>
      </c>
      <c r="C16" s="30" t="s">
        <v>145</v>
      </c>
    </row>
    <row r="17" spans="1:3" x14ac:dyDescent="0.25">
      <c r="A17" s="10">
        <v>21</v>
      </c>
      <c r="B17" s="30" t="s">
        <v>136</v>
      </c>
      <c r="C17" s="30" t="s">
        <v>144</v>
      </c>
    </row>
    <row r="18" spans="1:3" x14ac:dyDescent="0.25">
      <c r="A18" s="10">
        <v>20</v>
      </c>
      <c r="B18" s="30" t="s">
        <v>136</v>
      </c>
      <c r="C18" s="30" t="s">
        <v>146</v>
      </c>
    </row>
    <row r="19" spans="1:3" x14ac:dyDescent="0.25">
      <c r="A19" s="10">
        <v>27</v>
      </c>
      <c r="B19" s="30" t="s">
        <v>127</v>
      </c>
      <c r="C19" s="30" t="s">
        <v>147</v>
      </c>
    </row>
    <row r="20" spans="1:3" x14ac:dyDescent="0.25">
      <c r="A20" s="10">
        <v>1</v>
      </c>
      <c r="B20" s="30" t="s">
        <v>130</v>
      </c>
      <c r="C20" s="30" t="s">
        <v>134</v>
      </c>
    </row>
    <row r="21" spans="1:3" x14ac:dyDescent="0.25">
      <c r="A21" s="10">
        <v>14</v>
      </c>
      <c r="B21" s="30" t="s">
        <v>136</v>
      </c>
      <c r="C21" s="30" t="s">
        <v>128</v>
      </c>
    </row>
    <row r="22" spans="1:3" x14ac:dyDescent="0.25">
      <c r="A22" s="10">
        <v>14</v>
      </c>
      <c r="B22" s="30" t="s">
        <v>132</v>
      </c>
      <c r="C22" s="30" t="s">
        <v>148</v>
      </c>
    </row>
    <row r="23" spans="1:3" x14ac:dyDescent="0.25">
      <c r="A23" s="10">
        <v>9</v>
      </c>
      <c r="B23" s="30" t="s">
        <v>127</v>
      </c>
      <c r="C23" s="30" t="s">
        <v>144</v>
      </c>
    </row>
    <row r="24" spans="1:3" x14ac:dyDescent="0.25">
      <c r="A24" s="10">
        <v>19</v>
      </c>
      <c r="B24" s="30" t="s">
        <v>135</v>
      </c>
      <c r="C24" s="30" t="s">
        <v>149</v>
      </c>
    </row>
    <row r="25" spans="1:3" x14ac:dyDescent="0.25">
      <c r="A25" s="10">
        <v>21</v>
      </c>
      <c r="B25" s="30" t="s">
        <v>136</v>
      </c>
      <c r="C25" s="30" t="s">
        <v>144</v>
      </c>
    </row>
    <row r="26" spans="1:3" x14ac:dyDescent="0.25">
      <c r="A26" s="10">
        <v>29</v>
      </c>
      <c r="B26" s="30" t="s">
        <v>137</v>
      </c>
      <c r="C26" s="30" t="s">
        <v>144</v>
      </c>
    </row>
    <row r="27" spans="1:3" x14ac:dyDescent="0.25">
      <c r="A27" s="10">
        <v>3</v>
      </c>
      <c r="B27" s="30" t="s">
        <v>133</v>
      </c>
      <c r="C27" s="30" t="s">
        <v>144</v>
      </c>
    </row>
    <row r="28" spans="1:3" x14ac:dyDescent="0.25">
      <c r="A28" s="10">
        <v>11</v>
      </c>
      <c r="B28" s="30" t="s">
        <v>135</v>
      </c>
      <c r="C28" s="30" t="s">
        <v>144</v>
      </c>
    </row>
    <row r="29" spans="1:3" x14ac:dyDescent="0.25">
      <c r="A29" s="10">
        <v>16</v>
      </c>
      <c r="B29" s="30" t="s">
        <v>131</v>
      </c>
      <c r="C29" s="30" t="s">
        <v>145</v>
      </c>
    </row>
    <row r="30" spans="1:3" x14ac:dyDescent="0.25">
      <c r="A30" s="10">
        <v>7</v>
      </c>
      <c r="B30" s="30" t="s">
        <v>130</v>
      </c>
      <c r="C30" s="30" t="s">
        <v>144</v>
      </c>
    </row>
    <row r="31" spans="1:3" x14ac:dyDescent="0.25">
      <c r="A31" s="10">
        <v>13</v>
      </c>
      <c r="B31" s="30" t="s">
        <v>131</v>
      </c>
      <c r="C31" s="30" t="s">
        <v>144</v>
      </c>
    </row>
    <row r="32" spans="1:3" x14ac:dyDescent="0.25">
      <c r="A32" s="10">
        <v>24</v>
      </c>
      <c r="B32" s="30" t="s">
        <v>132</v>
      </c>
      <c r="C32" s="30" t="s">
        <v>144</v>
      </c>
    </row>
    <row r="33" spans="1:3" x14ac:dyDescent="0.25">
      <c r="A33" s="10">
        <v>2</v>
      </c>
      <c r="B33" s="30" t="s">
        <v>142</v>
      </c>
      <c r="C33" s="30" t="s">
        <v>144</v>
      </c>
    </row>
    <row r="34" spans="1:3" x14ac:dyDescent="0.25">
      <c r="A34" s="10">
        <v>17</v>
      </c>
      <c r="B34" s="30" t="s">
        <v>133</v>
      </c>
      <c r="C34" s="30" t="s">
        <v>139</v>
      </c>
    </row>
    <row r="35" spans="1:3" x14ac:dyDescent="0.25">
      <c r="A35" s="10">
        <v>9</v>
      </c>
      <c r="B35" s="30" t="s">
        <v>135</v>
      </c>
      <c r="C35" s="30" t="s">
        <v>150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CD3B-13A0-40CF-AF9C-C63893E82E06}">
  <dimension ref="A1:H32"/>
  <sheetViews>
    <sheetView workbookViewId="0">
      <selection activeCell="H22" sqref="H22"/>
    </sheetView>
  </sheetViews>
  <sheetFormatPr defaultRowHeight="13.2" x14ac:dyDescent="0.25"/>
  <cols>
    <col min="1" max="1" width="12.88671875" customWidth="1"/>
    <col min="2" max="2" width="11.88671875" customWidth="1"/>
    <col min="3" max="3" width="11.44140625" customWidth="1"/>
    <col min="5" max="5" width="9.44140625" customWidth="1"/>
    <col min="6" max="6" width="13.21875" customWidth="1"/>
    <col min="8" max="8" width="30.88671875" customWidth="1"/>
  </cols>
  <sheetData>
    <row r="1" spans="1:6" x14ac:dyDescent="0.25">
      <c r="A1" s="18" t="s">
        <v>19</v>
      </c>
      <c r="B1" s="18" t="s">
        <v>20</v>
      </c>
      <c r="C1" s="18" t="s">
        <v>21</v>
      </c>
      <c r="D1" s="18" t="s">
        <v>22</v>
      </c>
      <c r="E1" s="18" t="s">
        <v>23</v>
      </c>
      <c r="F1" s="18" t="s">
        <v>24</v>
      </c>
    </row>
    <row r="2" spans="1:6" x14ac:dyDescent="0.25">
      <c r="A2" s="19" t="s">
        <v>25</v>
      </c>
      <c r="B2" s="19" t="s">
        <v>59</v>
      </c>
      <c r="C2" s="19" t="s">
        <v>26</v>
      </c>
      <c r="D2" s="19">
        <v>1000</v>
      </c>
      <c r="E2" s="19">
        <v>30</v>
      </c>
      <c r="F2" s="19" t="s">
        <v>27</v>
      </c>
    </row>
    <row r="3" spans="1:6" x14ac:dyDescent="0.25">
      <c r="A3" s="20" t="s">
        <v>28</v>
      </c>
      <c r="B3" s="20" t="s">
        <v>29</v>
      </c>
      <c r="C3" s="20" t="s">
        <v>30</v>
      </c>
      <c r="D3" s="20">
        <v>80</v>
      </c>
      <c r="E3" s="20">
        <v>15</v>
      </c>
      <c r="F3" s="20" t="s">
        <v>31</v>
      </c>
    </row>
    <row r="4" spans="1:6" x14ac:dyDescent="0.25">
      <c r="A4" s="19" t="s">
        <v>32</v>
      </c>
      <c r="B4" s="25" t="s">
        <v>33</v>
      </c>
      <c r="C4" s="19" t="s">
        <v>34</v>
      </c>
      <c r="D4" s="19">
        <v>130</v>
      </c>
      <c r="E4" s="19">
        <v>40</v>
      </c>
      <c r="F4" s="19" t="s">
        <v>35</v>
      </c>
    </row>
    <row r="5" spans="1:6" x14ac:dyDescent="0.25">
      <c r="A5" s="20" t="s">
        <v>36</v>
      </c>
      <c r="B5" s="20" t="s">
        <v>93</v>
      </c>
      <c r="C5" s="20" t="s">
        <v>37</v>
      </c>
      <c r="D5" s="20">
        <v>900</v>
      </c>
      <c r="E5" s="20">
        <v>25</v>
      </c>
      <c r="F5" s="20" t="s">
        <v>27</v>
      </c>
    </row>
    <row r="6" spans="1:6" x14ac:dyDescent="0.25">
      <c r="A6" s="19" t="s">
        <v>38</v>
      </c>
      <c r="B6" s="19" t="s">
        <v>39</v>
      </c>
      <c r="C6" s="19" t="s">
        <v>40</v>
      </c>
      <c r="D6" s="19">
        <v>70</v>
      </c>
      <c r="E6" s="19">
        <v>20</v>
      </c>
      <c r="F6" s="19"/>
    </row>
    <row r="7" spans="1:6" x14ac:dyDescent="0.25">
      <c r="A7" s="20" t="s">
        <v>41</v>
      </c>
      <c r="B7" s="20" t="s">
        <v>42</v>
      </c>
      <c r="C7" s="20" t="s">
        <v>43</v>
      </c>
      <c r="D7" s="20"/>
      <c r="E7" s="20">
        <v>45</v>
      </c>
      <c r="F7" s="20" t="s">
        <v>44</v>
      </c>
    </row>
    <row r="8" spans="1:6" x14ac:dyDescent="0.25">
      <c r="A8" s="19" t="s">
        <v>45</v>
      </c>
      <c r="B8" s="19" t="s">
        <v>46</v>
      </c>
      <c r="C8" s="19" t="s">
        <v>47</v>
      </c>
      <c r="D8" s="19">
        <v>30</v>
      </c>
      <c r="E8" s="19">
        <v>5</v>
      </c>
      <c r="F8" s="19" t="s">
        <v>31</v>
      </c>
    </row>
    <row r="9" spans="1:6" x14ac:dyDescent="0.25">
      <c r="A9" s="20" t="s">
        <v>48</v>
      </c>
      <c r="B9" s="20" t="s">
        <v>49</v>
      </c>
      <c r="C9" s="20" t="s">
        <v>50</v>
      </c>
      <c r="D9" s="20">
        <v>90</v>
      </c>
      <c r="E9" s="20">
        <v>35</v>
      </c>
      <c r="F9" s="20" t="s">
        <v>35</v>
      </c>
    </row>
    <row r="10" spans="1:6" x14ac:dyDescent="0.25">
      <c r="A10" s="19" t="s">
        <v>51</v>
      </c>
      <c r="B10" s="19" t="s">
        <v>52</v>
      </c>
      <c r="C10" s="19" t="s">
        <v>53</v>
      </c>
      <c r="D10" s="19">
        <v>500</v>
      </c>
      <c r="E10" s="19">
        <v>50</v>
      </c>
      <c r="F10" s="19" t="s">
        <v>27</v>
      </c>
    </row>
    <row r="11" spans="1:6" x14ac:dyDescent="0.25">
      <c r="A11" s="20" t="s">
        <v>54</v>
      </c>
      <c r="B11" s="20" t="s">
        <v>55</v>
      </c>
      <c r="C11" s="20" t="s">
        <v>56</v>
      </c>
      <c r="D11" s="20">
        <v>130</v>
      </c>
      <c r="E11" s="20">
        <v>10</v>
      </c>
      <c r="F11" s="20" t="s">
        <v>57</v>
      </c>
    </row>
    <row r="12" spans="1:6" x14ac:dyDescent="0.25">
      <c r="A12" s="19" t="s">
        <v>58</v>
      </c>
      <c r="B12" s="19" t="s">
        <v>59</v>
      </c>
      <c r="C12" s="19" t="s">
        <v>60</v>
      </c>
      <c r="D12" s="19">
        <v>950</v>
      </c>
      <c r="E12" s="19">
        <v>25</v>
      </c>
      <c r="F12" s="19" t="s">
        <v>27</v>
      </c>
    </row>
    <row r="13" spans="1:6" x14ac:dyDescent="0.25">
      <c r="A13" s="20" t="s">
        <v>61</v>
      </c>
      <c r="B13" s="20" t="s">
        <v>29</v>
      </c>
      <c r="C13" s="20" t="s">
        <v>47</v>
      </c>
      <c r="D13" s="20">
        <v>90</v>
      </c>
      <c r="E13" s="20">
        <v>40</v>
      </c>
      <c r="F13" s="20"/>
    </row>
    <row r="14" spans="1:6" x14ac:dyDescent="0.25">
      <c r="A14" s="19" t="s">
        <v>62</v>
      </c>
      <c r="B14" s="19" t="s">
        <v>33</v>
      </c>
      <c r="C14" s="19" t="s">
        <v>63</v>
      </c>
      <c r="D14" s="19">
        <v>120</v>
      </c>
      <c r="E14" s="19">
        <v>35</v>
      </c>
      <c r="F14" s="19"/>
    </row>
    <row r="15" spans="1:6" x14ac:dyDescent="0.25">
      <c r="A15" s="20" t="s">
        <v>64</v>
      </c>
      <c r="B15" s="20" t="s">
        <v>65</v>
      </c>
      <c r="C15" s="20" t="s">
        <v>66</v>
      </c>
      <c r="D15" s="20">
        <v>150</v>
      </c>
      <c r="E15" s="20">
        <v>15</v>
      </c>
      <c r="F15" s="20" t="s">
        <v>44</v>
      </c>
    </row>
    <row r="16" spans="1:6" x14ac:dyDescent="0.25">
      <c r="A16" s="19" t="s">
        <v>67</v>
      </c>
      <c r="B16" s="19" t="s">
        <v>42</v>
      </c>
      <c r="C16" s="19" t="s">
        <v>68</v>
      </c>
      <c r="D16" s="19">
        <v>250</v>
      </c>
      <c r="E16" s="19">
        <v>20</v>
      </c>
      <c r="F16" s="19" t="s">
        <v>44</v>
      </c>
    </row>
    <row r="17" spans="1:8" x14ac:dyDescent="0.25">
      <c r="A17" s="20" t="s">
        <v>69</v>
      </c>
      <c r="B17" s="20" t="s">
        <v>70</v>
      </c>
      <c r="C17" s="20" t="s">
        <v>71</v>
      </c>
      <c r="D17" s="20">
        <v>50</v>
      </c>
      <c r="E17" s="20">
        <v>35</v>
      </c>
      <c r="F17" s="20" t="s">
        <v>72</v>
      </c>
    </row>
    <row r="18" spans="1:8" ht="17.399999999999999" x14ac:dyDescent="0.3">
      <c r="A18" s="19" t="s">
        <v>73</v>
      </c>
      <c r="B18" s="19" t="s">
        <v>65</v>
      </c>
      <c r="C18" s="19" t="s">
        <v>74</v>
      </c>
      <c r="D18" s="19">
        <v>160</v>
      </c>
      <c r="E18" s="19">
        <v>15</v>
      </c>
      <c r="F18" s="19" t="s">
        <v>44</v>
      </c>
      <c r="H18" s="26" t="s">
        <v>122</v>
      </c>
    </row>
    <row r="19" spans="1:8" x14ac:dyDescent="0.25">
      <c r="A19" s="20" t="s">
        <v>75</v>
      </c>
      <c r="B19" s="20" t="s">
        <v>59</v>
      </c>
      <c r="C19" s="20" t="s">
        <v>76</v>
      </c>
      <c r="D19" s="20">
        <v>980</v>
      </c>
      <c r="E19" s="20">
        <v>10</v>
      </c>
      <c r="F19" s="20" t="s">
        <v>27</v>
      </c>
    </row>
    <row r="20" spans="1:8" x14ac:dyDescent="0.25">
      <c r="A20" s="19" t="s">
        <v>77</v>
      </c>
      <c r="B20" s="19" t="s">
        <v>78</v>
      </c>
      <c r="C20" s="19" t="s">
        <v>79</v>
      </c>
      <c r="D20" s="19">
        <v>150</v>
      </c>
      <c r="E20" s="19">
        <v>15</v>
      </c>
      <c r="F20" s="19" t="s">
        <v>31</v>
      </c>
    </row>
    <row r="21" spans="1:8" x14ac:dyDescent="0.25">
      <c r="A21" s="20" t="s">
        <v>80</v>
      </c>
      <c r="B21" s="20" t="s">
        <v>81</v>
      </c>
      <c r="C21" s="20" t="s">
        <v>82</v>
      </c>
      <c r="D21" s="20"/>
      <c r="E21" s="20">
        <v>10</v>
      </c>
      <c r="F21" s="20" t="s">
        <v>57</v>
      </c>
    </row>
    <row r="22" spans="1:8" x14ac:dyDescent="0.25">
      <c r="A22" s="19" t="s">
        <v>83</v>
      </c>
      <c r="B22" s="19" t="s">
        <v>84</v>
      </c>
      <c r="C22" s="19" t="s">
        <v>85</v>
      </c>
      <c r="D22" s="19">
        <v>700</v>
      </c>
      <c r="E22" s="19">
        <v>50</v>
      </c>
      <c r="F22" s="19" t="s">
        <v>27</v>
      </c>
    </row>
    <row r="23" spans="1:8" x14ac:dyDescent="0.25">
      <c r="A23" s="20" t="s">
        <v>86</v>
      </c>
      <c r="B23" s="20" t="s">
        <v>87</v>
      </c>
      <c r="C23" s="20" t="s">
        <v>88</v>
      </c>
      <c r="D23" s="20">
        <v>80</v>
      </c>
      <c r="E23" s="20">
        <v>20</v>
      </c>
      <c r="F23" s="20" t="s">
        <v>35</v>
      </c>
    </row>
    <row r="24" spans="1:8" x14ac:dyDescent="0.25">
      <c r="A24" s="19" t="s">
        <v>89</v>
      </c>
      <c r="B24" s="19" t="s">
        <v>90</v>
      </c>
      <c r="C24" s="19" t="s">
        <v>91</v>
      </c>
      <c r="D24" s="19">
        <v>150</v>
      </c>
      <c r="E24" s="19">
        <v>30</v>
      </c>
      <c r="F24" s="19"/>
    </row>
    <row r="25" spans="1:8" x14ac:dyDescent="0.25">
      <c r="A25" s="19" t="s">
        <v>92</v>
      </c>
      <c r="B25" s="19" t="s">
        <v>93</v>
      </c>
      <c r="C25" s="19" t="s">
        <v>94</v>
      </c>
      <c r="D25" s="19">
        <v>800</v>
      </c>
      <c r="E25" s="19">
        <v>45</v>
      </c>
      <c r="F25" s="19" t="s">
        <v>27</v>
      </c>
    </row>
    <row r="26" spans="1:8" x14ac:dyDescent="0.25">
      <c r="A26" s="20" t="s">
        <v>95</v>
      </c>
      <c r="B26" s="20" t="s">
        <v>78</v>
      </c>
      <c r="C26" s="20" t="s">
        <v>96</v>
      </c>
      <c r="D26" s="20"/>
      <c r="E26" s="20">
        <v>25</v>
      </c>
      <c r="F26" s="20" t="s">
        <v>31</v>
      </c>
    </row>
    <row r="27" spans="1:8" x14ac:dyDescent="0.25">
      <c r="A27" s="19" t="s">
        <v>97</v>
      </c>
      <c r="B27" s="19" t="s">
        <v>49</v>
      </c>
      <c r="C27" s="19" t="s">
        <v>98</v>
      </c>
      <c r="D27" s="19">
        <v>400</v>
      </c>
      <c r="E27" s="19">
        <v>40</v>
      </c>
      <c r="F27" s="19" t="s">
        <v>35</v>
      </c>
    </row>
    <row r="28" spans="1:8" x14ac:dyDescent="0.25">
      <c r="A28" s="19" t="s">
        <v>99</v>
      </c>
      <c r="B28" s="19" t="s">
        <v>100</v>
      </c>
      <c r="C28" s="19" t="s">
        <v>101</v>
      </c>
      <c r="D28" s="19">
        <v>60</v>
      </c>
      <c r="E28" s="19">
        <v>30</v>
      </c>
      <c r="F28" s="19" t="s">
        <v>31</v>
      </c>
    </row>
    <row r="29" spans="1:8" x14ac:dyDescent="0.25">
      <c r="A29" s="20" t="s">
        <v>102</v>
      </c>
      <c r="B29" s="20" t="s">
        <v>103</v>
      </c>
      <c r="C29" s="20" t="s">
        <v>104</v>
      </c>
      <c r="D29" s="20">
        <v>40</v>
      </c>
      <c r="E29" s="20">
        <v>10</v>
      </c>
      <c r="F29" s="20" t="s">
        <v>35</v>
      </c>
    </row>
    <row r="30" spans="1:8" x14ac:dyDescent="0.25">
      <c r="A30" s="19" t="s">
        <v>105</v>
      </c>
      <c r="B30" s="19" t="s">
        <v>90</v>
      </c>
      <c r="C30" s="19" t="s">
        <v>106</v>
      </c>
      <c r="D30" s="19">
        <v>130</v>
      </c>
      <c r="E30" s="19">
        <v>5</v>
      </c>
      <c r="F30" s="19" t="s">
        <v>27</v>
      </c>
    </row>
    <row r="31" spans="1:8" x14ac:dyDescent="0.25">
      <c r="A31" s="20" t="s">
        <v>107</v>
      </c>
      <c r="B31" s="20" t="s">
        <v>108</v>
      </c>
      <c r="C31" s="20" t="s">
        <v>109</v>
      </c>
      <c r="D31" s="20">
        <v>50</v>
      </c>
      <c r="E31" s="20">
        <v>50</v>
      </c>
      <c r="F31" s="20" t="s">
        <v>31</v>
      </c>
    </row>
    <row r="32" spans="1:8" x14ac:dyDescent="0.25">
      <c r="A32" s="20" t="s">
        <v>110</v>
      </c>
      <c r="B32" s="20" t="s">
        <v>111</v>
      </c>
      <c r="C32" s="20" t="s">
        <v>112</v>
      </c>
      <c r="D32" s="20">
        <v>100</v>
      </c>
      <c r="E32" s="20">
        <v>20</v>
      </c>
      <c r="F32" s="20" t="s">
        <v>72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480EB-7889-418F-8100-F4BA14AFA6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Dataset</vt:lpstr>
      <vt:lpstr>Power Query Currency Type</vt:lpstr>
      <vt:lpstr>Split Data</vt:lpstr>
      <vt:lpstr>Duplicate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riyash</cp:lastModifiedBy>
  <dcterms:modified xsi:type="dcterms:W3CDTF">2026-01-07T15:35:57Z</dcterms:modified>
</cp:coreProperties>
</file>