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IYASH\Downloads\"/>
    </mc:Choice>
  </mc:AlternateContent>
  <xr:revisionPtr revIDLastSave="0" documentId="13_ncr:1_{3BC90FAD-387C-4CBD-852E-28948891A6E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PRAVEEN ASSIGNMENT" sheetId="2" r:id="rId2"/>
  </sheets>
  <definedNames>
    <definedName name="_xlnm._FilterDatabase" localSheetId="1" hidden="1">'PRAVEEN ASSIGNMENT'!$B$2:$B$35</definedName>
    <definedName name="_xlnm.Extract" localSheetId="1">'PRAVEEN ASSIGNMENT'!#REF!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U2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3" i="2"/>
  <c r="S2" i="2"/>
  <c r="H33" i="2"/>
  <c r="H30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2" i="2"/>
  <c r="H27" i="2"/>
  <c r="H26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D36" i="2"/>
</calcChain>
</file>

<file path=xl/sharedStrings.xml><?xml version="1.0" encoding="utf-8"?>
<sst xmlns="http://schemas.openxmlformats.org/spreadsheetml/2006/main" count="353" uniqueCount="141">
  <si>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</si>
  <si>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</si>
  <si>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</si>
  <si>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</si>
  <si>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</si>
  <si>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</si>
  <si>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</si>
  <si>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</si>
  <si>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</si>
  <si>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</si>
  <si>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</si>
  <si>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</si>
  <si>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</si>
  <si>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</si>
  <si>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</si>
  <si>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</si>
  <si>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</si>
  <si>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</si>
  <si>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</si>
  <si>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</si>
  <si>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</si>
  <si>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</si>
  <si>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</si>
  <si>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</si>
  <si>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</si>
  <si>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</si>
  <si>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</si>
  <si>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</si>
  <si>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</si>
  <si>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</si>
  <si>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</si>
  <si>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</si>
  <si>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</si>
  <si>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</si>
  <si>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</si>
  <si>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</si>
  <si>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</si>
  <si>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</si>
  <si>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</si>
  <si>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</si>
  <si>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</si>
  <si>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</si>
  <si>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</si>
  <si>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</si>
  <si>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</si>
  <si>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</si>
  <si>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</si>
  <si>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</si>
  <si>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</si>
  <si>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</si>
  <si>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</si>
  <si>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</si>
  <si>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</si>
  <si>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</si>
  <si>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</si>
  <si>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</si>
  <si>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</si>
  <si>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</si>
  <si>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</si>
  <si>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</si>
  <si>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</si>
  <si>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</si>
  <si>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</si>
  <si>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</si>
  <si>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</si>
  <si>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</si>
  <si>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</si>
  <si>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</si>
  <si>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</si>
  <si>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</si>
  <si>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</si>
  <si>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</si>
  <si>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</si>
  <si>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</si>
  <si>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</si>
  <si>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</si>
  <si>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</si>
  <si>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</si>
  <si>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</si>
  <si>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</si>
  <si>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</si>
  <si>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</si>
  <si>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</si>
  <si>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</si>
  <si>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</si>
  <si>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</si>
  <si>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</si>
  <si>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</si>
  <si>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</si>
  <si>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</si>
  <si>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</si>
  <si>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</si>
  <si>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</si>
  <si>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</si>
  <si>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</si>
  <si>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</si>
  <si>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</si>
  <si>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</si>
  <si>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</si>
  <si>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</si>
  <si>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</si>
  <si>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</si>
  <si>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</si>
  <si>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</si>
  <si>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</si>
  <si>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</si>
  <si>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</si>
  <si>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</si>
  <si>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</si>
  <si>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</si>
  <si>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Column1</t>
  </si>
  <si>
    <t xml:space="preserve">TOTAL LAPTOP SALES = </t>
  </si>
  <si>
    <t>TOTAL SNEAKERS SALES=</t>
  </si>
  <si>
    <t>TOTAL COFFEE MAKER SALES=</t>
  </si>
  <si>
    <t>TOTAL BACKPACK SALES=</t>
  </si>
  <si>
    <t>TOTAL HEADPHONES SALES=</t>
  </si>
  <si>
    <t>TOTAL BLENDER SALES=</t>
  </si>
  <si>
    <t>TOTAL TABLET SALES=</t>
  </si>
  <si>
    <t>TOTAL HIKING BOOTS SALES=</t>
  </si>
  <si>
    <t>TOTAL LAPTOP BAG SALES=</t>
  </si>
  <si>
    <t>TOTAL SUNGLASSES SALES=</t>
  </si>
  <si>
    <t>TOTAL CAMPING TENT SALES=</t>
  </si>
  <si>
    <t>TOTAL CAMERA SALES=</t>
  </si>
  <si>
    <t>TOTAL MICROWAVE SALES=</t>
  </si>
  <si>
    <t>TOTAL FITNESS TRACKER SALES=</t>
  </si>
  <si>
    <t>TOTAL SMART PHONE SALES=</t>
  </si>
  <si>
    <t>TOTAL T-SHI RT SALES=</t>
  </si>
  <si>
    <t>TOTAL SMART WATCH SALES=</t>
  </si>
  <si>
    <t>TOTAL DRESS SALES=</t>
  </si>
  <si>
    <t xml:space="preserve">TOTAL TOASTER SALES= </t>
  </si>
  <si>
    <t xml:space="preserve">TOTAL JEANS SALES= </t>
  </si>
  <si>
    <t>TOTAL WATCH SALES=</t>
  </si>
  <si>
    <t>MININMUM PRICE</t>
  </si>
  <si>
    <t>MAXIMUM PRICE</t>
  </si>
  <si>
    <t>Column2</t>
  </si>
  <si>
    <t>RESULT</t>
  </si>
  <si>
    <t>ELECTRONICS PRODUCT =</t>
  </si>
  <si>
    <t>LESS THAN $100=</t>
  </si>
  <si>
    <t>PRODUCT CODE</t>
  </si>
  <si>
    <t>COUNTRY CODE</t>
  </si>
  <si>
    <t>MODEL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</si>
</sst>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0" xfId="0" applyFill="1"/>
    <xf numFmtId="0" fontId="7" fillId="0" borderId="0" xfId="0" applyFont="1"/>
    <xf numFmtId="0" fontId="7" fillId="0" borderId="7" xfId="0" applyFont="1" applyBorder="1"/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3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 style="medium">
          <color indexed="64"/>
        </top>
        <bottom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319762-64D6-44B2-9E0A-81BDADE5B475}" name="Table5" displayName="Table5" ref="G25:H27" totalsRowShown="0" tableBorderDxfId="17">
  <autoFilter ref="G25:H27" xr:uid="{EC319762-64D6-44B2-9E0A-81BDADE5B475}"/>
  <tableColumns count="2">
    <tableColumn id="1" xr3:uid="{77F3E012-4A80-4A4B-9911-428B01DD4770}" name="Column1" dataDxfId="16"/>
    <tableColumn id="2" xr3:uid="{BBC2879B-FA36-44C2-8A11-DE6D963C6DC9}" name="Column2" dataDxfId="15">
      <calculatedColumnFormula>MAX(D1:D34)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BB8ED2-1C93-4701-9F4C-933D86C19C0A}" name="Table27" displayName="Table27" ref="J1:J22" totalsRowShown="0" headerRowDxfId="14" dataDxfId="13">
  <autoFilter ref="J1:J22" xr:uid="{E9BB8ED2-1C93-4701-9F4C-933D86C19C0A}"/>
  <tableColumns count="1">
    <tableColumn id="1" xr3:uid="{1789A317-60BB-414D-8FF5-54D67A7CBE1F}" name="Product Name" dataDxfId="12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9A802F-2845-4C81-90B7-17FAE0851285}" name="Table7" displayName="Table7" ref="L1:O35" totalsRowShown="0" headerRowDxfId="11">
  <autoFilter ref="L1:O35" xr:uid="{309A802F-2845-4C81-90B7-17FAE0851285}"/>
  <tableColumns count="4">
    <tableColumn id="1" xr3:uid="{D00CDB76-8520-4D1C-9E62-D0B22A2D59C3}" name="Product Name" dataDxfId="10"/>
    <tableColumn id="2" xr3:uid="{022CB9CF-B9B6-4D44-95EE-9BD048411574}" name="Brand Name" dataDxfId="9"/>
    <tableColumn id="3" xr3:uid="{304DAEDC-7906-4598-8A51-D6604062C89E}" name="Price ($)" dataDxfId="8"/>
    <tableColumn id="4" xr3:uid="{4128E4A3-259F-4DB6-A792-310E78836474}" name="RESULT" dataDxfId="7">
      <calculatedColumnFormula>IF(N2&gt;500,"HIGH PRIZE","STANDARD PRIZE")</calculatedColumnFormula>
    </tableColumn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F218B-6AEF-4856-A257-1214EF93CC2F}" name="Table1" displayName="Table1" ref="Q1:U35" totalsRowShown="0" headerRowDxfId="2" dataDxfId="3">
  <autoFilter ref="Q1:U35" xr:uid="{E39F218B-6AEF-4856-A257-1214EF93CC2F}"/>
  <tableColumns count="5">
    <tableColumn id="1" xr3:uid="{41980F89-F0EE-4C3A-9B8B-11649DAA15EA}" name="Product ID" dataDxfId="6"/>
    <tableColumn id="2" xr3:uid="{B87B9048-E00B-4AC3-8693-9D39A1CE6B15}" name="Product Name" dataDxfId="5"/>
    <tableColumn id="3" xr3:uid="{E300A146-CB92-41AE-AC4C-D2C50C8D3C02}" name="PRODUCT CODE" dataDxfId="4">
      <calculatedColumnFormula>LEFT(Q2,2)</calculatedColumnFormula>
    </tableColumn>
    <tableColumn id="4" xr3:uid="{1F108FF3-12F4-48DB-8E53-39265ED002D1}" name="COUNTRY CODE" dataDxfId="1">
      <calculatedColumnFormula>RIGHT(Q2,2)</calculatedColumnFormula>
    </tableColumn>
    <tableColumn id="5" xr3:uid="{C20C3517-74DB-4459-95F8-50F811F049B5}" name="MODEL YEAR" dataDxfId="0">
      <calculatedColumnFormula>MID(Q2,4,3)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2" workbookViewId="0">
      <selection activeCell="B13" sqref="B13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1000"/>
  <sheetViews>
    <sheetView tabSelected="1" topLeftCell="L1" workbookViewId="0">
      <selection activeCell="U2" sqref="U2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7" max="7" width="31.5546875" customWidth="1"/>
    <col min="10" max="10" width="14.6640625" customWidth="1"/>
    <col min="12" max="12" width="15.33203125" customWidth="1"/>
    <col min="13" max="13" width="13.6640625" customWidth="1"/>
    <col min="15" max="15" width="18.77734375" customWidth="1"/>
    <col min="17" max="17" width="13.5546875" customWidth="1"/>
    <col min="18" max="18" width="15.5546875" customWidth="1"/>
    <col min="19" max="19" width="17.88671875" customWidth="1"/>
    <col min="20" max="20" width="14.6640625" customWidth="1"/>
  </cols>
  <sheetData>
    <row r="1" spans="1:21" ht="15.75" customHeight="1" thickBo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  <c r="J1" s="5" t="s">
        <v>18</v>
      </c>
      <c r="L1" s="5" t="s">
        <v>18</v>
      </c>
      <c r="M1" s="5" t="s">
        <v>19</v>
      </c>
      <c r="N1" s="5" t="s">
        <v>20</v>
      </c>
      <c r="O1" t="s">
        <v>135</v>
      </c>
      <c r="Q1" s="18" t="s">
        <v>17</v>
      </c>
      <c r="R1" s="18" t="s">
        <v>18</v>
      </c>
      <c r="S1" s="18" t="s">
        <v>138</v>
      </c>
      <c r="T1" s="18" t="s">
        <v>139</v>
      </c>
      <c r="U1" s="18" t="s">
        <v>140</v>
      </c>
    </row>
    <row r="2" spans="1:21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19" t="s">
        <v>111</v>
      </c>
      <c r="H2" s="11">
        <f>SUMIF(B2:B35,"LAPTOP",D2:D35)</f>
        <v>3880</v>
      </c>
      <c r="J2" s="9" t="s">
        <v>24</v>
      </c>
      <c r="L2" s="7" t="s">
        <v>24</v>
      </c>
      <c r="M2" s="7" t="s">
        <v>25</v>
      </c>
      <c r="N2" s="7">
        <v>1000</v>
      </c>
      <c r="O2" t="str">
        <f>IF(N2&gt;500,"HIGH PRIZE","STANDARD PRIZE")</f>
        <v>HIGH PRIZE</v>
      </c>
      <c r="Q2" s="23" t="s">
        <v>23</v>
      </c>
      <c r="R2" s="23" t="s">
        <v>24</v>
      </c>
      <c r="S2" s="23" t="str">
        <f>LEFT(Q2,2)</f>
        <v>28</v>
      </c>
      <c r="T2" s="23" t="str">
        <f t="shared" ref="T2:T35" si="0">RIGHT(Q2,2)</f>
        <v>US</v>
      </c>
      <c r="U2" s="23" t="str">
        <f t="shared" ref="U2:U35" si="1">MID(Q2,4,3)</f>
        <v>JAN</v>
      </c>
    </row>
    <row r="3" spans="1:21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20" t="s">
        <v>112</v>
      </c>
      <c r="H3" s="12">
        <f>SUMIF(B2:B35,"SNEAKERS",D2:D35)</f>
        <v>170</v>
      </c>
      <c r="J3" s="10" t="s">
        <v>28</v>
      </c>
      <c r="L3" s="8" t="s">
        <v>28</v>
      </c>
      <c r="M3" s="8" t="s">
        <v>29</v>
      </c>
      <c r="N3" s="8">
        <v>80</v>
      </c>
      <c r="O3" t="str">
        <f t="shared" ref="O3:O35" si="2">IF(N3&gt;500,"HIGH PRIZE","STANDARD PRIZE")</f>
        <v>STANDARD PRIZE</v>
      </c>
      <c r="Q3" s="23" t="s">
        <v>27</v>
      </c>
      <c r="R3" s="23" t="s">
        <v>28</v>
      </c>
      <c r="S3" s="23" t="str">
        <f>LEFT(Q3,2)</f>
        <v>15</v>
      </c>
      <c r="T3" s="23" t="str">
        <f t="shared" si="0"/>
        <v>US</v>
      </c>
      <c r="U3" s="23" t="str">
        <f t="shared" si="1"/>
        <v>FEB</v>
      </c>
    </row>
    <row r="4" spans="1:21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20" t="s">
        <v>113</v>
      </c>
      <c r="H4" s="12">
        <f>SUMIF(B2:B35,"COFFEE MAKER",D2:D35)</f>
        <v>250</v>
      </c>
      <c r="J4" s="9" t="s">
        <v>32</v>
      </c>
      <c r="L4" s="7" t="s">
        <v>32</v>
      </c>
      <c r="M4" s="7" t="s">
        <v>33</v>
      </c>
      <c r="N4" s="7">
        <v>130</v>
      </c>
      <c r="O4" t="str">
        <f t="shared" si="2"/>
        <v>STANDARD PRIZE</v>
      </c>
      <c r="Q4" s="23" t="s">
        <v>31</v>
      </c>
      <c r="R4" s="23" t="s">
        <v>32</v>
      </c>
      <c r="S4" s="23" t="str">
        <f t="shared" ref="S4:S39" si="3">LEFT(Q4,2)</f>
        <v>03</v>
      </c>
      <c r="T4" s="23" t="str">
        <f t="shared" si="0"/>
        <v>US</v>
      </c>
      <c r="U4" s="23" t="str">
        <f t="shared" si="1"/>
        <v>MAR</v>
      </c>
    </row>
    <row r="5" spans="1:21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20" t="s">
        <v>125</v>
      </c>
      <c r="H5" s="12">
        <f>SUMIF(B2:B35,"SMARTPHONE",D2:D35)</f>
        <v>1700</v>
      </c>
      <c r="J5" s="10" t="s">
        <v>36</v>
      </c>
      <c r="L5" s="8" t="s">
        <v>36</v>
      </c>
      <c r="M5" s="8" t="s">
        <v>37</v>
      </c>
      <c r="N5" s="8">
        <v>900</v>
      </c>
      <c r="O5" t="str">
        <f t="shared" si="2"/>
        <v>HIGH PRIZE</v>
      </c>
      <c r="Q5" s="23" t="s">
        <v>35</v>
      </c>
      <c r="R5" s="23" t="s">
        <v>36</v>
      </c>
      <c r="S5" s="23" t="str">
        <f t="shared" si="3"/>
        <v>11</v>
      </c>
      <c r="T5" s="23" t="str">
        <f t="shared" si="0"/>
        <v>US</v>
      </c>
      <c r="U5" s="23" t="str">
        <f t="shared" si="1"/>
        <v>APR</v>
      </c>
    </row>
    <row r="6" spans="1:21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20" t="s">
        <v>114</v>
      </c>
      <c r="H6" s="12">
        <f>SUMIF(B2:B35,"BACKPACK",D2:D35)</f>
        <v>70</v>
      </c>
      <c r="J6" s="9" t="s">
        <v>39</v>
      </c>
      <c r="L6" s="7" t="s">
        <v>39</v>
      </c>
      <c r="M6" s="7" t="s">
        <v>40</v>
      </c>
      <c r="N6" s="7">
        <v>70</v>
      </c>
      <c r="O6" t="str">
        <f t="shared" si="2"/>
        <v>STANDARD PRIZE</v>
      </c>
      <c r="Q6" s="23" t="s">
        <v>38</v>
      </c>
      <c r="R6" s="23" t="s">
        <v>39</v>
      </c>
      <c r="S6" s="23" t="str">
        <f t="shared" si="3"/>
        <v>22</v>
      </c>
      <c r="T6" s="23" t="str">
        <f t="shared" si="0"/>
        <v>US</v>
      </c>
      <c r="U6" s="23" t="str">
        <f t="shared" si="1"/>
        <v>MAY</v>
      </c>
    </row>
    <row r="7" spans="1:21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20" t="s">
        <v>115</v>
      </c>
      <c r="H7" s="12">
        <f>SUMIF(B2:B35,"HEADPHONES",D2:D35)</f>
        <v>680</v>
      </c>
      <c r="J7" s="10" t="s">
        <v>43</v>
      </c>
      <c r="L7" s="8" t="s">
        <v>43</v>
      </c>
      <c r="M7" s="8" t="s">
        <v>44</v>
      </c>
      <c r="N7" s="8">
        <v>200</v>
      </c>
      <c r="O7" t="str">
        <f t="shared" si="2"/>
        <v>STANDARD PRIZE</v>
      </c>
      <c r="Q7" s="23" t="s">
        <v>42</v>
      </c>
      <c r="R7" s="23" t="s">
        <v>43</v>
      </c>
      <c r="S7" s="23" t="str">
        <f t="shared" si="3"/>
        <v>07</v>
      </c>
      <c r="T7" s="23" t="str">
        <f t="shared" si="0"/>
        <v>UK</v>
      </c>
      <c r="U7" s="23" t="str">
        <f t="shared" si="1"/>
        <v>JUN</v>
      </c>
    </row>
    <row r="8" spans="1:21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20" t="s">
        <v>126</v>
      </c>
      <c r="H8" s="12">
        <f>SUMIF(B2:B35,"T-SHIRT",D2:D35)</f>
        <v>30</v>
      </c>
      <c r="J8" s="9" t="s">
        <v>46</v>
      </c>
      <c r="L8" s="7" t="s">
        <v>46</v>
      </c>
      <c r="M8" s="7" t="s">
        <v>47</v>
      </c>
      <c r="N8" s="7">
        <v>30</v>
      </c>
      <c r="O8" t="str">
        <f t="shared" si="2"/>
        <v>STANDARD PRIZE</v>
      </c>
      <c r="Q8" s="23" t="s">
        <v>45</v>
      </c>
      <c r="R8" s="23" t="s">
        <v>46</v>
      </c>
      <c r="S8" s="23" t="str">
        <f t="shared" si="3"/>
        <v>19</v>
      </c>
      <c r="T8" s="23" t="str">
        <f t="shared" si="0"/>
        <v>UK</v>
      </c>
      <c r="U8" s="23" t="str">
        <f t="shared" si="1"/>
        <v>JUL</v>
      </c>
    </row>
    <row r="9" spans="1:21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20" t="s">
        <v>116</v>
      </c>
      <c r="H9" s="12">
        <f>SUMIF(B2:B35,"BLENDER",D2:D35)</f>
        <v>490</v>
      </c>
      <c r="J9" s="10" t="s">
        <v>49</v>
      </c>
      <c r="L9" s="8" t="s">
        <v>49</v>
      </c>
      <c r="M9" s="8" t="s">
        <v>50</v>
      </c>
      <c r="N9" s="8">
        <v>90</v>
      </c>
      <c r="O9" t="str">
        <f t="shared" si="2"/>
        <v>STANDARD PRIZE</v>
      </c>
      <c r="Q9" s="23" t="s">
        <v>48</v>
      </c>
      <c r="R9" s="23" t="s">
        <v>49</v>
      </c>
      <c r="S9" s="23" t="str">
        <f t="shared" si="3"/>
        <v>23</v>
      </c>
      <c r="T9" s="23" t="str">
        <f t="shared" si="0"/>
        <v>UK</v>
      </c>
      <c r="U9" s="23" t="str">
        <f t="shared" si="1"/>
        <v>AUG</v>
      </c>
    </row>
    <row r="10" spans="1:21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20" t="s">
        <v>117</v>
      </c>
      <c r="H10" s="12">
        <f>SUMIF(B2:B35,"TABLET",D2:D35)</f>
        <v>500</v>
      </c>
      <c r="J10" s="9" t="s">
        <v>52</v>
      </c>
      <c r="L10" s="7" t="s">
        <v>52</v>
      </c>
      <c r="M10" s="7" t="s">
        <v>53</v>
      </c>
      <c r="N10" s="7">
        <v>500</v>
      </c>
      <c r="O10" t="str">
        <f t="shared" si="2"/>
        <v>STANDARD PRIZE</v>
      </c>
      <c r="Q10" s="23" t="s">
        <v>51</v>
      </c>
      <c r="R10" s="23" t="s">
        <v>52</v>
      </c>
      <c r="S10" s="23" t="str">
        <f t="shared" si="3"/>
        <v>05</v>
      </c>
      <c r="T10" s="23" t="str">
        <f t="shared" si="0"/>
        <v>UK</v>
      </c>
      <c r="U10" s="23" t="str">
        <f t="shared" si="1"/>
        <v>SEP</v>
      </c>
    </row>
    <row r="11" spans="1:21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20" t="s">
        <v>118</v>
      </c>
      <c r="H11" s="12">
        <f>SUMIF(B2:B35,"HIKING BOOTS",D2:D35)</f>
        <v>130</v>
      </c>
      <c r="J11" s="10" t="s">
        <v>55</v>
      </c>
      <c r="L11" s="8" t="s">
        <v>55</v>
      </c>
      <c r="M11" s="8" t="s">
        <v>56</v>
      </c>
      <c r="N11" s="8">
        <v>130</v>
      </c>
      <c r="O11" t="str">
        <f t="shared" si="2"/>
        <v>STANDARD PRIZE</v>
      </c>
      <c r="Q11" s="23" t="s">
        <v>54</v>
      </c>
      <c r="R11" s="23" t="s">
        <v>55</v>
      </c>
      <c r="S11" s="23" t="str">
        <f t="shared" si="3"/>
        <v>14</v>
      </c>
      <c r="T11" s="23" t="str">
        <f t="shared" si="0"/>
        <v>UK</v>
      </c>
      <c r="U11" s="23" t="str">
        <f t="shared" si="1"/>
        <v>OCT</v>
      </c>
    </row>
    <row r="12" spans="1:21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20" t="s">
        <v>127</v>
      </c>
      <c r="H12" s="12">
        <f>SUMIF(B2:B35,"SMARTWATCH",D2:D35)</f>
        <v>310</v>
      </c>
      <c r="J12" s="10" t="s">
        <v>63</v>
      </c>
      <c r="L12" s="7" t="s">
        <v>24</v>
      </c>
      <c r="M12" s="7" t="s">
        <v>58</v>
      </c>
      <c r="N12" s="7">
        <v>950</v>
      </c>
      <c r="O12" t="str">
        <f t="shared" si="2"/>
        <v>HIGH PRIZE</v>
      </c>
      <c r="Q12" s="23" t="s">
        <v>57</v>
      </c>
      <c r="R12" s="23" t="s">
        <v>24</v>
      </c>
      <c r="S12" s="23" t="str">
        <f t="shared" si="3"/>
        <v>17</v>
      </c>
      <c r="T12" s="23" t="str">
        <f t="shared" si="0"/>
        <v>IN</v>
      </c>
      <c r="U12" s="23" t="str">
        <f t="shared" si="1"/>
        <v>JUN</v>
      </c>
    </row>
    <row r="13" spans="1:21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20" t="s">
        <v>119</v>
      </c>
      <c r="H13" s="12">
        <f>SUMIF(B2:B35,"LAPTOP BAG",D2:D35)</f>
        <v>100</v>
      </c>
      <c r="J13" s="10" t="s">
        <v>68</v>
      </c>
      <c r="L13" s="8" t="s">
        <v>28</v>
      </c>
      <c r="M13" s="8" t="s">
        <v>47</v>
      </c>
      <c r="N13" s="8">
        <v>90</v>
      </c>
      <c r="O13" t="str">
        <f t="shared" si="2"/>
        <v>STANDARD PRIZE</v>
      </c>
      <c r="Q13" s="23" t="s">
        <v>59</v>
      </c>
      <c r="R13" s="23" t="s">
        <v>28</v>
      </c>
      <c r="S13" s="23" t="str">
        <f t="shared" si="3"/>
        <v>25</v>
      </c>
      <c r="T13" s="23" t="str">
        <f t="shared" si="0"/>
        <v>AU</v>
      </c>
      <c r="U13" s="23" t="str">
        <f t="shared" si="1"/>
        <v>NOV</v>
      </c>
    </row>
    <row r="14" spans="1:21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20" t="s">
        <v>120</v>
      </c>
      <c r="H14" s="12">
        <f>SUMIF(B2:B35,"SUNGLASSES",D2:D35)</f>
        <v>280</v>
      </c>
      <c r="J14" s="9" t="s">
        <v>76</v>
      </c>
      <c r="L14" s="7" t="s">
        <v>32</v>
      </c>
      <c r="M14" s="7" t="s">
        <v>61</v>
      </c>
      <c r="N14" s="7">
        <v>120</v>
      </c>
      <c r="O14" t="str">
        <f t="shared" si="2"/>
        <v>STANDARD PRIZE</v>
      </c>
      <c r="Q14" s="23" t="s">
        <v>60</v>
      </c>
      <c r="R14" s="23" t="s">
        <v>32</v>
      </c>
      <c r="S14" s="23" t="str">
        <f t="shared" si="3"/>
        <v>08</v>
      </c>
      <c r="T14" s="23" t="str">
        <f t="shared" si="0"/>
        <v>DE</v>
      </c>
      <c r="U14" s="23" t="str">
        <f t="shared" si="1"/>
        <v>DEC</v>
      </c>
    </row>
    <row r="15" spans="1:21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20" t="s">
        <v>121</v>
      </c>
      <c r="H15" s="12">
        <f>SUMIF(B2:B35,"CAMPING TENT",D2:D35)</f>
        <v>200</v>
      </c>
      <c r="J15" s="10" t="s">
        <v>79</v>
      </c>
      <c r="L15" s="8" t="s">
        <v>63</v>
      </c>
      <c r="M15" s="8" t="s">
        <v>64</v>
      </c>
      <c r="N15" s="8">
        <v>150</v>
      </c>
      <c r="O15" t="str">
        <f t="shared" si="2"/>
        <v>STANDARD PRIZE</v>
      </c>
      <c r="Q15" s="23" t="s">
        <v>62</v>
      </c>
      <c r="R15" s="23" t="s">
        <v>63</v>
      </c>
      <c r="S15" s="23" t="str">
        <f t="shared" si="3"/>
        <v>18</v>
      </c>
      <c r="T15" s="23" t="str">
        <f t="shared" si="0"/>
        <v>CA</v>
      </c>
      <c r="U15" s="23" t="str">
        <f t="shared" si="1"/>
        <v>FEB</v>
      </c>
    </row>
    <row r="16" spans="1:21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20" t="s">
        <v>122</v>
      </c>
      <c r="H16" s="12">
        <f>SUMIF(B2:B35,"CAMERA",D2:D35)</f>
        <v>700</v>
      </c>
      <c r="J16" s="9" t="s">
        <v>82</v>
      </c>
      <c r="L16" s="7" t="s">
        <v>43</v>
      </c>
      <c r="M16" s="7" t="s">
        <v>66</v>
      </c>
      <c r="N16" s="7">
        <v>250</v>
      </c>
      <c r="O16" t="str">
        <f t="shared" si="2"/>
        <v>STANDARD PRIZE</v>
      </c>
      <c r="Q16" s="23" t="s">
        <v>65</v>
      </c>
      <c r="R16" s="23" t="s">
        <v>43</v>
      </c>
      <c r="S16" s="23" t="str">
        <f t="shared" si="3"/>
        <v>16</v>
      </c>
      <c r="T16" s="23" t="str">
        <f t="shared" si="0"/>
        <v>ES</v>
      </c>
      <c r="U16" s="23" t="str">
        <f t="shared" si="1"/>
        <v>APR</v>
      </c>
    </row>
    <row r="17" spans="1:21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20" t="s">
        <v>123</v>
      </c>
      <c r="H17" s="12">
        <f>SUMIF(B2:B35,"MICROWAVE",D2:D35)</f>
        <v>80</v>
      </c>
      <c r="J17" s="10" t="s">
        <v>85</v>
      </c>
      <c r="L17" s="8" t="s">
        <v>68</v>
      </c>
      <c r="M17" s="8" t="s">
        <v>69</v>
      </c>
      <c r="N17" s="8">
        <v>50</v>
      </c>
      <c r="O17" t="str">
        <f t="shared" si="2"/>
        <v>STANDARD PRIZE</v>
      </c>
      <c r="Q17" s="23" t="s">
        <v>67</v>
      </c>
      <c r="R17" s="23" t="s">
        <v>68</v>
      </c>
      <c r="S17" s="23" t="str">
        <f t="shared" si="3"/>
        <v>21</v>
      </c>
      <c r="T17" s="23" t="str">
        <f t="shared" si="0"/>
        <v>CA</v>
      </c>
      <c r="U17" s="23" t="str">
        <f t="shared" si="1"/>
        <v>AUG</v>
      </c>
    </row>
    <row r="18" spans="1:21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20" t="s">
        <v>124</v>
      </c>
      <c r="H18" s="12">
        <f>SUMIF(B2:B35,"FITNESS TRACKER",D2:D35)</f>
        <v>280</v>
      </c>
      <c r="J18" s="9" t="s">
        <v>88</v>
      </c>
      <c r="L18" s="7" t="s">
        <v>63</v>
      </c>
      <c r="M18" s="7" t="s">
        <v>72</v>
      </c>
      <c r="N18" s="7">
        <v>160</v>
      </c>
      <c r="O18" t="str">
        <f t="shared" si="2"/>
        <v>STANDARD PRIZE</v>
      </c>
      <c r="Q18" s="23" t="s">
        <v>71</v>
      </c>
      <c r="R18" s="23" t="s">
        <v>63</v>
      </c>
      <c r="S18" s="23" t="str">
        <f t="shared" si="3"/>
        <v>20</v>
      </c>
      <c r="T18" s="23" t="str">
        <f t="shared" si="0"/>
        <v>CN</v>
      </c>
      <c r="U18" s="23" t="str">
        <f t="shared" si="1"/>
        <v>AUG</v>
      </c>
    </row>
    <row r="19" spans="1:21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20" t="s">
        <v>128</v>
      </c>
      <c r="H19" s="12">
        <f>SUMIF(B2:B35,"DRESS",D2:D35)</f>
        <v>60</v>
      </c>
      <c r="J19" s="9" t="s">
        <v>97</v>
      </c>
      <c r="L19" s="8" t="s">
        <v>24</v>
      </c>
      <c r="M19" s="8" t="s">
        <v>74</v>
      </c>
      <c r="N19" s="7">
        <v>980</v>
      </c>
      <c r="O19" t="str">
        <f t="shared" si="2"/>
        <v>HIGH PRIZE</v>
      </c>
      <c r="Q19" s="23" t="s">
        <v>73</v>
      </c>
      <c r="R19" s="23" t="s">
        <v>24</v>
      </c>
      <c r="S19" s="23" t="str">
        <f t="shared" si="3"/>
        <v>27</v>
      </c>
      <c r="T19" s="23" t="str">
        <f t="shared" si="0"/>
        <v>IT</v>
      </c>
      <c r="U19" s="23" t="str">
        <f t="shared" si="1"/>
        <v>JAN</v>
      </c>
    </row>
    <row r="20" spans="1:21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20" t="s">
        <v>129</v>
      </c>
      <c r="H20" s="12">
        <f>SUMIF(B2:B35,"TOASTER",D2:D35)</f>
        <v>40</v>
      </c>
      <c r="J20" s="10" t="s">
        <v>100</v>
      </c>
      <c r="L20" s="7" t="s">
        <v>76</v>
      </c>
      <c r="M20" s="7" t="s">
        <v>77</v>
      </c>
      <c r="N20" s="8">
        <v>150</v>
      </c>
      <c r="O20" t="str">
        <f t="shared" si="2"/>
        <v>STANDARD PRIZE</v>
      </c>
      <c r="Q20" s="23" t="s">
        <v>75</v>
      </c>
      <c r="R20" s="23" t="s">
        <v>76</v>
      </c>
      <c r="S20" s="23" t="str">
        <f t="shared" si="3"/>
        <v>01</v>
      </c>
      <c r="T20" s="23" t="str">
        <f t="shared" si="0"/>
        <v>UK</v>
      </c>
      <c r="U20" s="23" t="str">
        <f t="shared" si="1"/>
        <v>MAR</v>
      </c>
    </row>
    <row r="21" spans="1:21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20" t="s">
        <v>130</v>
      </c>
      <c r="H21" s="12">
        <f>SUMIF(B2:B35,"JEANS",D2:D35)</f>
        <v>50</v>
      </c>
      <c r="J21" s="10" t="s">
        <v>105</v>
      </c>
      <c r="L21" s="8" t="s">
        <v>79</v>
      </c>
      <c r="M21" s="8" t="s">
        <v>80</v>
      </c>
      <c r="N21" s="7">
        <v>200</v>
      </c>
      <c r="O21" t="str">
        <f t="shared" si="2"/>
        <v>STANDARD PRIZE</v>
      </c>
      <c r="Q21" s="23" t="s">
        <v>78</v>
      </c>
      <c r="R21" s="23" t="s">
        <v>79</v>
      </c>
      <c r="S21" s="23" t="str">
        <f t="shared" si="3"/>
        <v>14</v>
      </c>
      <c r="T21" s="23" t="str">
        <f t="shared" si="0"/>
        <v>US</v>
      </c>
      <c r="U21" s="23" t="str">
        <f t="shared" si="1"/>
        <v>AUG</v>
      </c>
    </row>
    <row r="22" spans="1:21" ht="15.75" customHeight="1" thickBot="1" x14ac:dyDescent="0.3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21" t="s">
        <v>131</v>
      </c>
      <c r="H22" s="13">
        <f>SUMIF(B2:B35,"WATCH",D2:D35)</f>
        <v>100</v>
      </c>
      <c r="J22" s="10" t="s">
        <v>108</v>
      </c>
      <c r="L22" s="7" t="s">
        <v>82</v>
      </c>
      <c r="M22" s="7" t="s">
        <v>83</v>
      </c>
      <c r="N22" s="8">
        <v>700</v>
      </c>
      <c r="O22" s="7" t="str">
        <f t="shared" si="2"/>
        <v>HIGH PRIZE</v>
      </c>
      <c r="Q22" s="23" t="s">
        <v>81</v>
      </c>
      <c r="R22" s="23" t="s">
        <v>82</v>
      </c>
      <c r="S22" s="23" t="str">
        <f t="shared" si="3"/>
        <v>14</v>
      </c>
      <c r="T22" s="23" t="str">
        <f t="shared" si="0"/>
        <v>RU</v>
      </c>
      <c r="U22" s="23" t="str">
        <f t="shared" si="1"/>
        <v>MAY</v>
      </c>
    </row>
    <row r="23" spans="1:21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  <c r="L23" s="8" t="s">
        <v>85</v>
      </c>
      <c r="M23" s="8" t="s">
        <v>86</v>
      </c>
      <c r="N23" s="7">
        <v>80</v>
      </c>
      <c r="O23" s="7" t="str">
        <f t="shared" si="2"/>
        <v>STANDARD PRIZE</v>
      </c>
      <c r="Q23" s="23" t="s">
        <v>84</v>
      </c>
      <c r="R23" s="23" t="s">
        <v>85</v>
      </c>
      <c r="S23" s="23" t="str">
        <f t="shared" si="3"/>
        <v>09</v>
      </c>
      <c r="T23" s="23" t="str">
        <f t="shared" si="0"/>
        <v>CA</v>
      </c>
      <c r="U23" s="23" t="str">
        <f t="shared" si="1"/>
        <v>JAN</v>
      </c>
    </row>
    <row r="24" spans="1:21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  <c r="L24" s="7" t="s">
        <v>88</v>
      </c>
      <c r="M24" s="7" t="s">
        <v>89</v>
      </c>
      <c r="N24" s="8">
        <v>150</v>
      </c>
      <c r="O24" s="8" t="str">
        <f t="shared" si="2"/>
        <v>STANDARD PRIZE</v>
      </c>
      <c r="Q24" s="23" t="s">
        <v>87</v>
      </c>
      <c r="R24" s="23" t="s">
        <v>88</v>
      </c>
      <c r="S24" s="23" t="str">
        <f t="shared" si="3"/>
        <v>19</v>
      </c>
      <c r="T24" s="23" t="str">
        <f t="shared" si="0"/>
        <v>BR</v>
      </c>
      <c r="U24" s="23" t="str">
        <f t="shared" si="1"/>
        <v>JUL</v>
      </c>
    </row>
    <row r="25" spans="1:21" ht="15.75" customHeight="1" thickBot="1" x14ac:dyDescent="0.3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7" t="s">
        <v>110</v>
      </c>
      <c r="H25" t="s">
        <v>134</v>
      </c>
      <c r="L25" s="8" t="s">
        <v>68</v>
      </c>
      <c r="M25" s="8" t="s">
        <v>69</v>
      </c>
      <c r="N25" s="7">
        <v>50</v>
      </c>
      <c r="O25" s="7" t="str">
        <f t="shared" si="2"/>
        <v>STANDARD PRIZE</v>
      </c>
      <c r="Q25" s="23" t="s">
        <v>67</v>
      </c>
      <c r="R25" s="23" t="s">
        <v>68</v>
      </c>
      <c r="S25" s="23" t="str">
        <f t="shared" si="3"/>
        <v>21</v>
      </c>
      <c r="T25" s="23" t="str">
        <f t="shared" si="0"/>
        <v>CA</v>
      </c>
      <c r="U25" s="23" t="str">
        <f t="shared" si="1"/>
        <v>AUG</v>
      </c>
    </row>
    <row r="26" spans="1:21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16" t="s">
        <v>132</v>
      </c>
      <c r="H26" s="17">
        <f>MIN(D2:D35)</f>
        <v>30</v>
      </c>
      <c r="L26" s="7" t="s">
        <v>36</v>
      </c>
      <c r="M26" s="7" t="s">
        <v>91</v>
      </c>
      <c r="N26" s="8">
        <v>800</v>
      </c>
      <c r="O26" s="8" t="str">
        <f t="shared" si="2"/>
        <v>HIGH PRIZE</v>
      </c>
      <c r="Q26" s="23" t="s">
        <v>90</v>
      </c>
      <c r="R26" s="23" t="s">
        <v>36</v>
      </c>
      <c r="S26" s="23" t="str">
        <f t="shared" si="3"/>
        <v>29</v>
      </c>
      <c r="T26" s="23" t="str">
        <f t="shared" si="0"/>
        <v>CA</v>
      </c>
      <c r="U26" s="23" t="str">
        <f t="shared" si="1"/>
        <v>SEP</v>
      </c>
    </row>
    <row r="27" spans="1:21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15" t="s">
        <v>133</v>
      </c>
      <c r="H27" s="18">
        <f>MAX(D2:D35)</f>
        <v>1000</v>
      </c>
      <c r="L27" s="8" t="s">
        <v>76</v>
      </c>
      <c r="M27" s="8" t="s">
        <v>93</v>
      </c>
      <c r="N27" s="7">
        <v>130</v>
      </c>
      <c r="O27" s="7" t="str">
        <f t="shared" si="2"/>
        <v>STANDARD PRIZE</v>
      </c>
      <c r="Q27" s="23" t="s">
        <v>92</v>
      </c>
      <c r="R27" s="23" t="s">
        <v>76</v>
      </c>
      <c r="S27" s="23" t="str">
        <f t="shared" si="3"/>
        <v>03</v>
      </c>
      <c r="T27" s="23" t="str">
        <f t="shared" si="0"/>
        <v>CA</v>
      </c>
      <c r="U27" s="23" t="str">
        <f t="shared" si="1"/>
        <v>JUN</v>
      </c>
    </row>
    <row r="28" spans="1:21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  <c r="L28" s="7" t="s">
        <v>49</v>
      </c>
      <c r="M28" s="7" t="s">
        <v>95</v>
      </c>
      <c r="N28" s="8">
        <v>400</v>
      </c>
      <c r="O28" s="8" t="str">
        <f t="shared" si="2"/>
        <v>STANDARD PRIZE</v>
      </c>
      <c r="Q28" s="23" t="s">
        <v>94</v>
      </c>
      <c r="R28" s="23" t="s">
        <v>49</v>
      </c>
      <c r="S28" s="23" t="str">
        <f t="shared" si="3"/>
        <v>11</v>
      </c>
      <c r="T28" s="23" t="str">
        <f t="shared" si="0"/>
        <v>CA</v>
      </c>
      <c r="U28" s="23" t="str">
        <f t="shared" si="1"/>
        <v>JUL</v>
      </c>
    </row>
    <row r="29" spans="1:21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7"/>
      <c r="L29" s="8" t="s">
        <v>43</v>
      </c>
      <c r="M29" s="8" t="s">
        <v>66</v>
      </c>
      <c r="N29" s="7">
        <v>230</v>
      </c>
      <c r="O29" s="7" t="str">
        <f t="shared" si="2"/>
        <v>STANDARD PRIZE</v>
      </c>
      <c r="Q29" s="23" t="s">
        <v>65</v>
      </c>
      <c r="R29" s="23" t="s">
        <v>43</v>
      </c>
      <c r="S29" s="23" t="str">
        <f t="shared" si="3"/>
        <v>16</v>
      </c>
      <c r="T29" s="23" t="str">
        <f t="shared" si="0"/>
        <v>ES</v>
      </c>
      <c r="U29" s="23" t="str">
        <f t="shared" si="1"/>
        <v>APR</v>
      </c>
    </row>
    <row r="30" spans="1:21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15" t="s">
        <v>136</v>
      </c>
      <c r="H30" s="18">
        <f>SUMIF(F2:F35,"ELECTRONICS",D2:D35)</f>
        <v>8050</v>
      </c>
      <c r="L30" s="7" t="s">
        <v>97</v>
      </c>
      <c r="M30" s="7" t="s">
        <v>98</v>
      </c>
      <c r="N30" s="8">
        <v>60</v>
      </c>
      <c r="O30" s="8" t="str">
        <f t="shared" si="2"/>
        <v>STANDARD PRIZE</v>
      </c>
      <c r="Q30" s="23" t="s">
        <v>96</v>
      </c>
      <c r="R30" s="23" t="s">
        <v>97</v>
      </c>
      <c r="S30" s="23" t="str">
        <f t="shared" si="3"/>
        <v>07</v>
      </c>
      <c r="T30" s="23" t="str">
        <f t="shared" si="0"/>
        <v>CA</v>
      </c>
      <c r="U30" s="23" t="str">
        <f t="shared" si="1"/>
        <v>MAR</v>
      </c>
    </row>
    <row r="31" spans="1:21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  <c r="L31" s="8" t="s">
        <v>100</v>
      </c>
      <c r="M31" s="8" t="s">
        <v>101</v>
      </c>
      <c r="N31" s="7">
        <v>40</v>
      </c>
      <c r="O31" s="7" t="str">
        <f t="shared" si="2"/>
        <v>STANDARD PRIZE</v>
      </c>
      <c r="Q31" s="23" t="s">
        <v>99</v>
      </c>
      <c r="R31" s="23" t="s">
        <v>100</v>
      </c>
      <c r="S31" s="23" t="str">
        <f t="shared" si="3"/>
        <v>13</v>
      </c>
      <c r="T31" s="23" t="str">
        <f t="shared" si="0"/>
        <v>CA</v>
      </c>
      <c r="U31" s="23" t="str">
        <f t="shared" si="1"/>
        <v>APR</v>
      </c>
    </row>
    <row r="32" spans="1:21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  <c r="L32" s="7" t="s">
        <v>88</v>
      </c>
      <c r="M32" s="7" t="s">
        <v>103</v>
      </c>
      <c r="N32" s="8">
        <v>130</v>
      </c>
      <c r="O32" s="8" t="str">
        <f t="shared" si="2"/>
        <v>STANDARD PRIZE</v>
      </c>
      <c r="Q32" s="23" t="s">
        <v>102</v>
      </c>
      <c r="R32" s="23" t="s">
        <v>88</v>
      </c>
      <c r="S32" s="23" t="str">
        <f t="shared" si="3"/>
        <v>24</v>
      </c>
      <c r="T32" s="23" t="str">
        <f t="shared" si="0"/>
        <v>CA</v>
      </c>
      <c r="U32" s="23" t="str">
        <f t="shared" si="1"/>
        <v>MAY</v>
      </c>
    </row>
    <row r="33" spans="1:21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15" t="s">
        <v>137</v>
      </c>
      <c r="H33" s="22">
        <f>COUNTIF(D2:D35,"&lt;100")</f>
        <v>11</v>
      </c>
      <c r="L33" s="8" t="s">
        <v>105</v>
      </c>
      <c r="M33" s="8" t="s">
        <v>106</v>
      </c>
      <c r="N33" s="7">
        <v>50</v>
      </c>
      <c r="O33" s="7" t="str">
        <f t="shared" si="2"/>
        <v>STANDARD PRIZE</v>
      </c>
      <c r="Q33" s="23" t="s">
        <v>104</v>
      </c>
      <c r="R33" s="23" t="s">
        <v>105</v>
      </c>
      <c r="S33" s="23" t="str">
        <f t="shared" si="3"/>
        <v>02</v>
      </c>
      <c r="T33" s="23" t="str">
        <f t="shared" si="0"/>
        <v>CA</v>
      </c>
      <c r="U33" s="23" t="str">
        <f t="shared" si="1"/>
        <v>DEC</v>
      </c>
    </row>
    <row r="34" spans="1:21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  <c r="L34" s="7" t="s">
        <v>24</v>
      </c>
      <c r="M34" s="7" t="s">
        <v>58</v>
      </c>
      <c r="N34" s="8">
        <v>950</v>
      </c>
      <c r="O34" s="8" t="str">
        <f t="shared" si="2"/>
        <v>HIGH PRIZE</v>
      </c>
      <c r="Q34" s="23" t="s">
        <v>57</v>
      </c>
      <c r="R34" s="23" t="s">
        <v>24</v>
      </c>
      <c r="S34" s="23" t="str">
        <f t="shared" si="3"/>
        <v>17</v>
      </c>
      <c r="T34" s="23" t="str">
        <f t="shared" si="0"/>
        <v>IN</v>
      </c>
      <c r="U34" s="23" t="str">
        <f t="shared" si="1"/>
        <v>JUN</v>
      </c>
    </row>
    <row r="35" spans="1:21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  <c r="L35" s="8" t="s">
        <v>108</v>
      </c>
      <c r="M35" s="8" t="s">
        <v>109</v>
      </c>
      <c r="N35" s="7">
        <v>100</v>
      </c>
      <c r="O35" s="7" t="str">
        <f t="shared" si="2"/>
        <v>STANDARD PRIZE</v>
      </c>
      <c r="Q35" s="23" t="s">
        <v>107</v>
      </c>
      <c r="R35" s="23" t="s">
        <v>108</v>
      </c>
      <c r="S35" s="23" t="str">
        <f t="shared" si="3"/>
        <v>09</v>
      </c>
      <c r="T35" s="23" t="str">
        <f t="shared" si="0"/>
        <v>FR</v>
      </c>
      <c r="U35" s="23" t="str">
        <f t="shared" si="1"/>
        <v>JUL</v>
      </c>
    </row>
    <row r="36" spans="1:21" ht="15.75" customHeight="1" x14ac:dyDescent="0.25">
      <c r="B36" s="7"/>
      <c r="D36" s="14">
        <f>SUM(D2:D35)</f>
        <v>10100</v>
      </c>
      <c r="N36" s="8"/>
      <c r="O36" s="8"/>
      <c r="S36" t="str">
        <f t="shared" si="3"/>
        <v/>
      </c>
    </row>
    <row r="37" spans="1:21" ht="15.75" customHeight="1" x14ac:dyDescent="0.25">
      <c r="S37" t="str">
        <f t="shared" si="3"/>
        <v/>
      </c>
    </row>
    <row r="38" spans="1:21" ht="15.75" customHeight="1" x14ac:dyDescent="0.25">
      <c r="S38" t="str">
        <f t="shared" si="3"/>
        <v/>
      </c>
    </row>
    <row r="39" spans="1:21" ht="15.75" customHeight="1" x14ac:dyDescent="0.25">
      <c r="S39" t="str">
        <f t="shared" si="3"/>
        <v/>
      </c>
    </row>
    <row r="40" spans="1:21" ht="15.75" customHeight="1" x14ac:dyDescent="0.25"/>
    <row r="41" spans="1:21" ht="15.75" customHeight="1" x14ac:dyDescent="0.25"/>
    <row r="42" spans="1:21" ht="15.75" customHeight="1" x14ac:dyDescent="0.25"/>
    <row r="43" spans="1:21" ht="15.75" customHeight="1" x14ac:dyDescent="0.25"/>
    <row r="44" spans="1:21" ht="15.75" customHeight="1" x14ac:dyDescent="0.25"/>
    <row r="45" spans="1:21" ht="15.75" customHeight="1" x14ac:dyDescent="0.25"/>
    <row r="46" spans="1:21" ht="15.75" customHeight="1" x14ac:dyDescent="0.25"/>
    <row r="47" spans="1:21" ht="15.75" customHeight="1" x14ac:dyDescent="0.25"/>
    <row r="48" spans="1:2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2:H2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{E566A1E4-8F86-4E0D-B1E3-20FEBF73F02D}</x14:id>
        </ext>
      </extLst>
    </cfRule>
  </conditionalFormatting>
  <conditionalFormatting sqref="G30:H3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3:H33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{3CC2FE27-970B-4DE4-AFAA-54D43B1B0364}</x14:id>
        </ext>
      </extLst>
    </cfRule>
  </conditionalFormatting>
  <conditionalFormatting sqref="H2:H2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:O35">
    <cfRule type="colorScale" priority="5">
      <colorScale>
        <cfvo type="min"/>
        <cfvo type="max"/>
        <color rgb="FFFCFCFF"/>
        <color rgb="FF63BE7B"/>
      </colorScale>
    </cfRule>
  </conditionalFormatting>
  <conditionalFormatting sqref="Q1:S3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{15C48CBB-4C75-4A28-A8EB-E2FD3E30A649}</x14:id>
        </ext>
      </extLst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66A1E4-8F86-4E0D-B1E3-20FEBF73F0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G2:H22</xm:sqref>
        </x14:conditionalFormatting>
        <x14:conditionalFormatting xmlns:xm="http://schemas.microsoft.com/office/excel/2006/main">
          <x14:cfRule type="dataBar" id="{3CC2FE27-970B-4DE4-AFAA-54D43B1B036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G33:H33</xm:sqref>
        </x14:conditionalFormatting>
        <x14:conditionalFormatting xmlns:xm="http://schemas.microsoft.com/office/excel/2006/main">
          <x14:cfRule type="dataBar" id="{15C48CBB-4C75-4A28-A8EB-E2FD3E30A6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Q1:S35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PRAVEEN 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 riyash</cp:lastModifiedBy>
  <dcterms:modified xsi:type="dcterms:W3CDTF">2026-01-03T09:12:35Z</dcterms:modified>
</cp:coreProperties>
</file>